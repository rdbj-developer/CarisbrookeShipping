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43bcab5a9b7452a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daniel.lewandowski\Documents\Custom Office Templates\"/>
    </mc:Choice>
  </mc:AlternateContent>
  <bookViews>
    <workbookView xWindow="120" yWindow="150" windowWidth="11670" windowHeight="6720" firstSheet="1" activeTab="1"/>
  </bookViews>
  <sheets>
    <sheet name="MASTER" sheetId="19" state="veryHidden" r:id="rId1"/>
    <sheet name="Instructions" sheetId="20" r:id="rId2"/>
  </sheets>
  <functionGroups builtInGroupCount="18"/>
  <definedNames>
    <definedName name="Archived">Instructions!$G$3</definedName>
    <definedName name="Comments" localSheetId="0">MASTER!$BI$7:$BI$37</definedName>
    <definedName name="MasterName" localSheetId="0">MASTER!$AF$41</definedName>
    <definedName name="Month" localSheetId="0">MASTER!$O$2</definedName>
    <definedName name="Name">Instructions!$C$5</definedName>
    <definedName name="Number">Instructions!$F$7</definedName>
    <definedName name="_xlnm.Print_Area" localSheetId="1">Instructions!$B$2:$G$39</definedName>
    <definedName name="_xlnm.Print_Area" localSheetId="0">MASTER!$B$2:$BI$43</definedName>
    <definedName name="Rank">Instructions!$F$5</definedName>
    <definedName name="Ship">Instructions!$C$2</definedName>
    <definedName name="SignaturesSection" localSheetId="0">MASTER!$B$41:$AT$43</definedName>
    <definedName name="SignOnDate">Instructions!$C$7</definedName>
    <definedName name="TimePeriodsOddColumns">MASTER!$E$7:$E$37,MASTER!$G$7:$G$37,MASTER!$I$7:$I$37,MASTER!$K$7:$K$37,MASTER!$M$7:$M$37,MASTER!$O$7:$O$37,MASTER!$Q$7:$Q$38,MASTER!$S$7:$S$37,MASTER!$U$7:$U$37,MASTER!$W$7:$W$37,MASTER!$Y$7:$Y$37,MASTER!$AA$7:$AA$37,MASTER!$AC$7:$AC$37,MASTER!$AC$37,MASTER!$AE$7:$AE$37,MASTER!$AG$7:$AG$37,MASTER!$AI$7:$AI$37,MASTER!$AK$7:$AK$37,MASTER!$AM$7:$AM$37,MASTER!$AO$7:$AO$37,MASTER!$AQ$7:$AQ$37,MASTER!$AS$7:$AS$37,MASTER!$AU$7:$AU$37,MASTER!$AW$7:$AW$37,MASTER!$AY$7:$AY$37</definedName>
    <definedName name="TimeSlots" localSheetId="0">MASTER!$E$7:$AZ$37</definedName>
    <definedName name="TotalDutyColumns">MASTER!$BD$7:$BF$37</definedName>
    <definedName name="TotalsColumns" localSheetId="0">MASTER!$BB$7:$BC$37,MASTER!$BG$7:$BH$37</definedName>
    <definedName name="TotalsRow" localSheetId="0">MASTER!$AX$39:$BG$39</definedName>
    <definedName name="TotalWork" localSheetId="0">MASTER!$BB$39</definedName>
    <definedName name="Z_45EC669D_EF00_460B_A8D8_226D7DB18B96_.wvu.Cols" localSheetId="0" hidden="1">MASTER!#REF!,MASTER!$BD:$BF,MASTER!#REF!</definedName>
    <definedName name="Z_45EC669D_EF00_460B_A8D8_226D7DB18B96_.wvu.PrintArea" localSheetId="0" hidden="1">MASTER!$B$3:$BG$43</definedName>
  </definedNames>
  <calcPr calcId="162913"/>
</workbook>
</file>

<file path=xl/calcChain.xml><?xml version="1.0" encoding="utf-8"?>
<calcChain xmlns="http://schemas.openxmlformats.org/spreadsheetml/2006/main">
  <c r="BI2" i="19" l="1"/>
  <c r="F1" i="20"/>
  <c r="C8" i="19"/>
  <c r="BC8" i="19" s="1"/>
  <c r="C9" i="19"/>
  <c r="BC9" i="19" s="1"/>
  <c r="C10" i="19"/>
  <c r="BC10" i="19" s="1"/>
  <c r="C11" i="19"/>
  <c r="BC11" i="19" s="1"/>
  <c r="C12" i="19"/>
  <c r="BC12" i="19" s="1"/>
  <c r="C13" i="19"/>
  <c r="BC13" i="19" s="1"/>
  <c r="C14" i="19"/>
  <c r="BC14" i="19" s="1"/>
  <c r="C15" i="19"/>
  <c r="BC15" i="19" s="1"/>
  <c r="C16" i="19"/>
  <c r="BC16" i="19" s="1"/>
  <c r="C17" i="19"/>
  <c r="BC17" i="19" s="1"/>
  <c r="C18" i="19"/>
  <c r="BC18" i="19" s="1"/>
  <c r="C19" i="19"/>
  <c r="BC19" i="19" s="1"/>
  <c r="C20" i="19"/>
  <c r="BC20" i="19" s="1"/>
  <c r="C21" i="19"/>
  <c r="BC21" i="19" s="1"/>
  <c r="C22" i="19"/>
  <c r="BC22" i="19" s="1"/>
  <c r="C23" i="19"/>
  <c r="BC23" i="19" s="1"/>
  <c r="C24" i="19"/>
  <c r="BC24" i="19" s="1"/>
  <c r="C25" i="19"/>
  <c r="BC25" i="19" s="1"/>
  <c r="C26" i="19"/>
  <c r="BC26" i="19" s="1"/>
  <c r="C27" i="19"/>
  <c r="BC27" i="19" s="1"/>
  <c r="C28" i="19"/>
  <c r="BC28" i="19" s="1"/>
  <c r="C29" i="19"/>
  <c r="BC29" i="19" s="1"/>
  <c r="C30" i="19"/>
  <c r="BC30" i="19" s="1"/>
  <c r="C31" i="19"/>
  <c r="BC31" i="19" s="1"/>
  <c r="C32" i="19"/>
  <c r="BC32" i="19" s="1"/>
  <c r="C33" i="19"/>
  <c r="BC33" i="19" s="1"/>
  <c r="C34" i="19"/>
  <c r="BC34" i="19" s="1"/>
  <c r="C35" i="19"/>
  <c r="BC35" i="19" s="1"/>
  <c r="C36" i="19"/>
  <c r="BC36" i="19" s="1"/>
  <c r="C37" i="19"/>
  <c r="BC37" i="19" s="1"/>
  <c r="C7" i="19"/>
  <c r="BC7" i="19" s="1"/>
  <c r="BC39" i="19" l="1"/>
  <c r="AS2" i="19"/>
  <c r="AB2" i="19"/>
  <c r="C2" i="19"/>
  <c r="BD34" i="19" l="1"/>
  <c r="BE34" i="19"/>
  <c r="BF34" i="19"/>
  <c r="BD35" i="19"/>
  <c r="BE35" i="19"/>
  <c r="BF35" i="19"/>
  <c r="BD36" i="19"/>
  <c r="BE36" i="19"/>
  <c r="BF36" i="19"/>
  <c r="BD37" i="19"/>
  <c r="BE37" i="19"/>
  <c r="BF37" i="19"/>
  <c r="BB35" i="19" l="1"/>
  <c r="BG35" i="19" s="1"/>
  <c r="BB37" i="19"/>
  <c r="BG37" i="19" s="1"/>
  <c r="BB36" i="19"/>
  <c r="BG36" i="19" s="1"/>
  <c r="BB34" i="19"/>
  <c r="BG34" i="19" s="1"/>
  <c r="BF33" i="19"/>
  <c r="BE33" i="19"/>
  <c r="BD33" i="19"/>
  <c r="BF32" i="19"/>
  <c r="BE32" i="19"/>
  <c r="BD32" i="19"/>
  <c r="BF31" i="19"/>
  <c r="BE31" i="19"/>
  <c r="BD31" i="19"/>
  <c r="BF30" i="19"/>
  <c r="BE30" i="19"/>
  <c r="BD30" i="19"/>
  <c r="BF29" i="19"/>
  <c r="BE29" i="19"/>
  <c r="BD29" i="19"/>
  <c r="BF28" i="19"/>
  <c r="BE28" i="19"/>
  <c r="BD28" i="19"/>
  <c r="BF27" i="19"/>
  <c r="BE27" i="19"/>
  <c r="BD27" i="19"/>
  <c r="BF26" i="19"/>
  <c r="BE26" i="19"/>
  <c r="BD26" i="19"/>
  <c r="BF25" i="19"/>
  <c r="BE25" i="19"/>
  <c r="BD25" i="19"/>
  <c r="BF24" i="19"/>
  <c r="BE24" i="19"/>
  <c r="BD24" i="19"/>
  <c r="BF23" i="19"/>
  <c r="BE23" i="19"/>
  <c r="BD23" i="19"/>
  <c r="BF22" i="19"/>
  <c r="BE22" i="19"/>
  <c r="BD22" i="19"/>
  <c r="BF21" i="19"/>
  <c r="BE21" i="19"/>
  <c r="BD21" i="19"/>
  <c r="BF20" i="19"/>
  <c r="BE20" i="19"/>
  <c r="BD20" i="19"/>
  <c r="BF19" i="19"/>
  <c r="BE19" i="19"/>
  <c r="BD19" i="19"/>
  <c r="BF18" i="19"/>
  <c r="BE18" i="19"/>
  <c r="BD18" i="19"/>
  <c r="BF17" i="19"/>
  <c r="BE17" i="19"/>
  <c r="BD17" i="19"/>
  <c r="BF16" i="19"/>
  <c r="BE16" i="19"/>
  <c r="BD16" i="19"/>
  <c r="BF15" i="19"/>
  <c r="BE15" i="19"/>
  <c r="BD15" i="19"/>
  <c r="BF14" i="19"/>
  <c r="BE14" i="19"/>
  <c r="BD14" i="19"/>
  <c r="BF13" i="19"/>
  <c r="BE13" i="19"/>
  <c r="BD13" i="19"/>
  <c r="BF12" i="19"/>
  <c r="BE12" i="19"/>
  <c r="BD12" i="19"/>
  <c r="BF11" i="19"/>
  <c r="BE11" i="19"/>
  <c r="BD11" i="19"/>
  <c r="BF10" i="19"/>
  <c r="BE10" i="19"/>
  <c r="BD10" i="19"/>
  <c r="BF9" i="19"/>
  <c r="BE9" i="19"/>
  <c r="BD9" i="19"/>
  <c r="BF8" i="19"/>
  <c r="BE8" i="19"/>
  <c r="BD8" i="19"/>
  <c r="BF7" i="19"/>
  <c r="BE7" i="19"/>
  <c r="BD7" i="19"/>
  <c r="BB20" i="19" l="1"/>
  <c r="BG20" i="19" s="1"/>
  <c r="BB12" i="19"/>
  <c r="BB16" i="19"/>
  <c r="BG16" i="19" s="1"/>
  <c r="BB18" i="19"/>
  <c r="BB19" i="19"/>
  <c r="BB28" i="19"/>
  <c r="BB32" i="19"/>
  <c r="BG32" i="19" s="1"/>
  <c r="BB8" i="19"/>
  <c r="BG8" i="19" s="1"/>
  <c r="BB10" i="19"/>
  <c r="BG10" i="19" s="1"/>
  <c r="BB11" i="19"/>
  <c r="BG11" i="19" s="1"/>
  <c r="BB24" i="19"/>
  <c r="BB26" i="19"/>
  <c r="BB27" i="19"/>
  <c r="BD39" i="19"/>
  <c r="BF39" i="19"/>
  <c r="BE39" i="19"/>
  <c r="BB14" i="19"/>
  <c r="BB15" i="19"/>
  <c r="BB22" i="19"/>
  <c r="BB23" i="19"/>
  <c r="BB30" i="19"/>
  <c r="BB31" i="19"/>
  <c r="BB9" i="19"/>
  <c r="BG9" i="19" s="1"/>
  <c r="BB13" i="19"/>
  <c r="BB17" i="19"/>
  <c r="BG17" i="19" s="1"/>
  <c r="BB21" i="19"/>
  <c r="BG21" i="19" s="1"/>
  <c r="BB25" i="19"/>
  <c r="BB29" i="19"/>
  <c r="BB33" i="19"/>
  <c r="BG33" i="19" s="1"/>
  <c r="BB7" i="19"/>
  <c r="BH33" i="19"/>
  <c r="BH31" i="19"/>
  <c r="BH13" i="19"/>
  <c r="BH17" i="19"/>
  <c r="BH21" i="19"/>
  <c r="BH22" i="19"/>
  <c r="BH24" i="19"/>
  <c r="BH12" i="19"/>
  <c r="BH19" i="19"/>
  <c r="BH30" i="19"/>
  <c r="BH10" i="19"/>
  <c r="BH27" i="19"/>
  <c r="BH15" i="19"/>
  <c r="BH36" i="19"/>
  <c r="BH16" i="19"/>
  <c r="BH9" i="19"/>
  <c r="BH11" i="19"/>
  <c r="BH29" i="19"/>
  <c r="BH32" i="19"/>
  <c r="BH7" i="19"/>
  <c r="BH20" i="19"/>
  <c r="BH26" i="19"/>
  <c r="BH25" i="19"/>
  <c r="BH37" i="19"/>
  <c r="BH18" i="19"/>
  <c r="BH14" i="19"/>
  <c r="BH8" i="19"/>
  <c r="BH28" i="19"/>
  <c r="BH35" i="19"/>
  <c r="BH23" i="19"/>
  <c r="BH34" i="19"/>
  <c r="BG31" i="19" l="1"/>
  <c r="BG30" i="19"/>
  <c r="BG12" i="19"/>
  <c r="BG29" i="19"/>
  <c r="BG28" i="19"/>
  <c r="BG27" i="19"/>
  <c r="BG26" i="19"/>
  <c r="BG25" i="19"/>
  <c r="BG24" i="19"/>
  <c r="BG23" i="19"/>
  <c r="BG22" i="19"/>
  <c r="BG19" i="19"/>
  <c r="BG18" i="19"/>
  <c r="BG13" i="19"/>
  <c r="BG14" i="19"/>
  <c r="BG15" i="19"/>
  <c r="BG7" i="19"/>
  <c r="BB39" i="19"/>
  <c r="BG39" i="19" l="1"/>
</calcChain>
</file>

<file path=xl/sharedStrings.xml><?xml version="1.0" encoding="utf-8"?>
<sst xmlns="http://schemas.openxmlformats.org/spreadsheetml/2006/main" count="57" uniqueCount="53">
  <si>
    <t>Signature:</t>
  </si>
  <si>
    <t>Master Name:</t>
  </si>
  <si>
    <t>Seafarer Signature:</t>
  </si>
  <si>
    <t>Total
Work</t>
  </si>
  <si>
    <t>Watch
Duty</t>
  </si>
  <si>
    <t>Total
Rest</t>
  </si>
  <si>
    <t>Comments</t>
  </si>
  <si>
    <t>Rest and Work Hours</t>
  </si>
  <si>
    <t>Ops
Duty</t>
  </si>
  <si>
    <t>Emg.
Duty</t>
  </si>
  <si>
    <t xml:space="preserve"> Ship:</t>
  </si>
  <si>
    <t xml:space="preserve"> Month:</t>
  </si>
  <si>
    <t>Totals</t>
  </si>
  <si>
    <t>Date</t>
  </si>
  <si>
    <t>Day</t>
  </si>
  <si>
    <t xml:space="preserve">7 Day
Rest </t>
  </si>
  <si>
    <t>Review:</t>
  </si>
  <si>
    <t>Name:</t>
  </si>
  <si>
    <t>Rank:</t>
  </si>
  <si>
    <t>Ship:</t>
  </si>
  <si>
    <t>- Forms are saved to "Saved Forms" &gt; "RWH".</t>
  </si>
  <si>
    <t>- Click "Start New Month", to create a blank sheet for the current month.</t>
  </si>
  <si>
    <t>- Complete the time sheet by entering the letter code for each 30 minute time slot which you have worked.</t>
  </si>
  <si>
    <t>- Navigate to the saved forms folder and open the file you want to edit.</t>
  </si>
  <si>
    <t>OR</t>
  </si>
  <si>
    <t>- At the end of each month use "Submit" to send all active RWH forms to the ISM department.</t>
  </si>
  <si>
    <t>- When a seafarer leaves the ship, submit the RWH for the seafarer by clicking "Submit" then click "Archive" to move the RWH to archive so it is not sent each month.</t>
  </si>
  <si>
    <t>- To open existing RWH forms you can open a blank copy, then click "Open" to find existing forms.</t>
  </si>
  <si>
    <t>Notes:</t>
  </si>
  <si>
    <t>- Letter codes for time worked are:</t>
  </si>
  <si>
    <t xml:space="preserve">O  =&gt;  Operational Duties           </t>
  </si>
  <si>
    <t>W =&gt;  Watchkeeping Duties</t>
  </si>
  <si>
    <t>E   =&gt;  Emergency Duties</t>
  </si>
  <si>
    <t>- You can use the "Mark As" menu to automatically mark all selected cells as a certain type 
       (useful to quickly mark routine watchkeeping or operational duties each month).</t>
  </si>
  <si>
    <r>
      <rPr>
        <sz val="11"/>
        <color rgb="FF002060"/>
        <rFont val="Calibri"/>
        <family val="2"/>
        <scheme val="minor"/>
      </rPr>
      <t>- If required you can create a sheet for the previous month using the drop down under "Start New Month"</t>
    </r>
  </si>
  <si>
    <t>Instructions:</t>
  </si>
  <si>
    <t>Opening:</t>
  </si>
  <si>
    <r>
      <rPr>
        <b/>
        <sz val="11"/>
        <color rgb="FF002060"/>
        <rFont val="Calibri"/>
        <family val="2"/>
        <scheme val="minor"/>
      </rPr>
      <t>Submit:</t>
    </r>
    <r>
      <rPr>
        <sz val="11"/>
        <color rgb="FF002060"/>
        <rFont val="Calibri"/>
        <family val="2"/>
        <scheme val="minor"/>
      </rPr>
      <t xml:space="preserve">
</t>
    </r>
  </si>
  <si>
    <t>- As you mark each period it will automatically be highlighted if there is a violation.
       Note:  This can be used as a tool for planning to make sure there are no violations in a planned period.</t>
  </si>
  <si>
    <t>- Reports can be generated using the "Report" button. They will automatically be saved to 
       "Saved forms" &gt; "RWH" &gt; "Reports".</t>
  </si>
  <si>
    <t>- Reports provide a detailed list of all violations during the current month.</t>
  </si>
  <si>
    <r>
      <rPr>
        <b/>
        <sz val="11"/>
        <color rgb="FF002060"/>
        <rFont val="Calibri"/>
        <family val="2"/>
        <scheme val="minor"/>
      </rPr>
      <t>Reports:</t>
    </r>
    <r>
      <rPr>
        <sz val="11"/>
        <color rgb="FF002060"/>
        <rFont val="Calibri"/>
        <family val="2"/>
        <scheme val="minor"/>
      </rPr>
      <t xml:space="preserve">
    </t>
    </r>
  </si>
  <si>
    <t>- Using the "Check" button will recalculate all periods for the current month and immediately highlight all violations. In addition clicking on a highlighted period will show a message with details of the violation.</t>
  </si>
  <si>
    <r>
      <t xml:space="preserve">- New RWH forms should </t>
    </r>
    <r>
      <rPr>
        <b/>
        <u/>
        <sz val="11"/>
        <color rgb="FF002060"/>
        <rFont val="Calibri"/>
        <family val="2"/>
        <scheme val="minor"/>
      </rPr>
      <t>only</t>
    </r>
    <r>
      <rPr>
        <sz val="11"/>
        <color rgb="FF002060"/>
        <rFont val="Calibri"/>
        <family val="2"/>
        <scheme val="minor"/>
      </rPr>
      <t xml:space="preserve"> be created using the start menu shortcut.</t>
    </r>
  </si>
  <si>
    <r>
      <t xml:space="preserve">- Do </t>
    </r>
    <r>
      <rPr>
        <b/>
        <u/>
        <sz val="11"/>
        <color rgb="FF002060"/>
        <rFont val="Calibri"/>
        <family val="2"/>
        <scheme val="minor"/>
      </rPr>
      <t>not</t>
    </r>
    <r>
      <rPr>
        <sz val="11"/>
        <color rgb="FF002060"/>
        <rFont val="Calibri"/>
        <family val="2"/>
        <scheme val="minor"/>
      </rPr>
      <t xml:space="preserve"> copy RWH forms </t>
    </r>
    <r>
      <rPr>
        <b/>
        <u/>
        <sz val="11"/>
        <color rgb="FF002060"/>
        <rFont val="Calibri"/>
        <family val="2"/>
        <scheme val="minor"/>
      </rPr>
      <t>or</t>
    </r>
    <r>
      <rPr>
        <sz val="11"/>
        <color rgb="FF002060"/>
        <rFont val="Calibri"/>
        <family val="2"/>
        <scheme val="minor"/>
      </rPr>
      <t xml:space="preserve"> change the file names.</t>
    </r>
  </si>
  <si>
    <t>Signed On:</t>
  </si>
  <si>
    <t>- Enter your name, rank and sign on date, then press "Enter" to stop editing (or click off of the box).</t>
  </si>
  <si>
    <t>Tip: Hover over the buttons in the ribbon  to see what they do. Click "Help" to see full instructions.</t>
  </si>
  <si>
    <t>Number:</t>
  </si>
  <si>
    <t>- The "Number" field is optional, and can be used to sort seafarers by the number according to crewlist.</t>
  </si>
  <si>
    <t xml:space="preserve">O  =&gt;  Operational Duties     </t>
  </si>
  <si>
    <t>Over
time</t>
  </si>
  <si>
    <t>Karen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</si>
</sst>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\ ;[Red]\(#,##0\)"/>
    <numFmt numFmtId="165" formatCode="[$-F800]dddd\,\ mmmm\ dd\,\ yyyy"/>
    <numFmt numFmtId="166" formatCode="0.0"/>
    <numFmt numFmtId="167" formatCode="#,##0.0;[Red]#,##0.0"/>
    <numFmt numFmtId="168" formatCode="mmmm\ yyyy"/>
    <numFmt numFmtId="169" formatCode="[hh]:mm"/>
  </numFmts>
  <fonts count="11">
    <font>
      <sz val="10"/>
      <name val="CG Times"/>
      <family val="1"/>
    </font>
    <font>
      <sz val="11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i/>
      <sz val="11"/>
      <color rgb="FF00206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FAB4B4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BE5F1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2060"/>
      </left>
      <right style="thin">
        <color theme="3" tint="0.79998168889431442"/>
      </right>
      <top style="thin">
        <color rgb="FF002060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rgb="FF002060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rgb="FF002060"/>
      </right>
      <top style="thin">
        <color rgb="FF002060"/>
      </top>
      <bottom style="thin">
        <color theme="3" tint="0.79998168889431442"/>
      </bottom>
      <diagonal/>
    </border>
    <border>
      <left style="thin">
        <color rgb="FF002060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rgb="FF002060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/>
      <diagonal/>
    </border>
    <border>
      <left style="dotted">
        <color rgb="FF002060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dotted">
        <color rgb="FF002060"/>
      </left>
      <right style="thin">
        <color theme="3" tint="0.79998168889431442"/>
      </right>
      <top style="thin">
        <color theme="3" tint="0.79998168889431442"/>
      </top>
      <bottom/>
      <diagonal/>
    </border>
    <border>
      <left style="thin">
        <color theme="3" tint="0.79998168889431442"/>
      </left>
      <right/>
      <top style="thin">
        <color theme="3" tint="0.79998168889431442"/>
      </top>
      <bottom/>
      <diagonal/>
    </border>
    <border>
      <left/>
      <right/>
      <top style="thin">
        <color rgb="FF002060"/>
      </top>
      <bottom/>
      <diagonal/>
    </border>
    <border>
      <left style="thin">
        <color rgb="FF002060"/>
      </left>
      <right style="thin">
        <color theme="3" tint="0.79998168889431442"/>
      </right>
      <top style="thin">
        <color theme="3" tint="0.79998168889431442"/>
      </top>
      <bottom/>
      <diagonal/>
    </border>
    <border>
      <left style="thin">
        <color theme="3" tint="0.79998168889431442"/>
      </left>
      <right style="thin">
        <color rgb="FF002060"/>
      </right>
      <top style="thin">
        <color theme="3" tint="0.7999816888943144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2060"/>
      </left>
      <right style="thin">
        <color theme="3" tint="0.79998168889431442"/>
      </right>
      <top/>
      <bottom style="thin">
        <color rgb="FF002060"/>
      </bottom>
      <diagonal/>
    </border>
    <border>
      <left style="thin">
        <color theme="3" tint="0.79998168889431442"/>
      </left>
      <right style="thin">
        <color theme="3" tint="0.79998168889431442"/>
      </right>
      <top/>
      <bottom style="thin">
        <color rgb="FF002060"/>
      </bottom>
      <diagonal/>
    </border>
    <border>
      <left style="thin">
        <color theme="3" tint="0.79998168889431442"/>
      </left>
      <right style="thin">
        <color rgb="FF002060"/>
      </right>
      <top/>
      <bottom style="thin">
        <color rgb="FF002060"/>
      </bottom>
      <diagonal/>
    </border>
    <border>
      <left/>
      <right/>
      <top style="thin">
        <color theme="3" tint="0.79998168889431442"/>
      </top>
      <bottom/>
      <diagonal/>
    </border>
    <border>
      <left style="dotted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dotted">
        <color rgb="FF002060"/>
      </left>
      <right style="thin">
        <color rgb="FF002060"/>
      </right>
      <top style="thin">
        <color rgb="FF002060"/>
      </top>
      <bottom/>
      <diagonal/>
    </border>
    <border>
      <left style="thin">
        <color rgb="FF002060"/>
      </left>
      <right style="dotted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theme="3" tint="0.79998168889431442"/>
      </left>
      <right/>
      <top/>
      <bottom style="thin">
        <color theme="3" tint="0.79998168889431442"/>
      </bottom>
      <diagonal/>
    </border>
    <border>
      <left/>
      <right style="thin">
        <color theme="3" tint="0.79998168889431442"/>
      </right>
      <top style="thin">
        <color theme="3" tint="0.79998168889431442"/>
      </top>
      <bottom/>
      <diagonal/>
    </border>
    <border>
      <left style="thin">
        <color rgb="FF002060"/>
      </left>
      <right/>
      <top/>
      <bottom/>
      <diagonal/>
    </border>
    <border>
      <left style="thin">
        <color rgb="FF002060"/>
      </left>
      <right style="thin">
        <color theme="3" tint="0.79998168889431442"/>
      </right>
      <top/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/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rgb="FF002060"/>
      </right>
      <top/>
      <bottom/>
      <diagonal/>
    </border>
    <border>
      <left style="thin">
        <color theme="3" tint="0.79998168889431442"/>
      </left>
      <right style="thin">
        <color rgb="FF002060"/>
      </right>
      <top style="thin">
        <color theme="3" tint="0.79995117038483843"/>
      </top>
      <bottom style="thin">
        <color theme="3" tint="0.79998168889431442"/>
      </bottom>
      <diagonal/>
    </border>
    <border>
      <left/>
      <right/>
      <top/>
      <bottom style="thin">
        <color theme="0" tint="-0.14996795556505021"/>
      </bottom>
      <diagonal/>
    </border>
  </borders>
  <cellStyleXfs count="10">
    <xf numFmtId="164" fontId="0" fillId="0" borderId="0"/>
    <xf numFmtId="0" fontId="1" fillId="0" borderId="0" applyNumberFormat="0" applyBorder="0" applyAlignment="0" applyProtection="0"/>
    <xf numFmtId="164" fontId="2" fillId="6" borderId="30">
      <alignment horizontal="center" vertical="center"/>
      <protection locked="0"/>
    </xf>
    <xf numFmtId="164" fontId="2" fillId="6" borderId="28">
      <alignment horizontal="center" vertical="center"/>
      <protection locked="0"/>
    </xf>
    <xf numFmtId="164" fontId="2" fillId="7" borderId="30">
      <alignment horizontal="center" vertical="center"/>
      <protection locked="0"/>
    </xf>
    <xf numFmtId="164" fontId="2" fillId="7" borderId="28">
      <alignment horizontal="center" vertical="center"/>
      <protection locked="0"/>
    </xf>
    <xf numFmtId="164" fontId="1" fillId="8" borderId="30">
      <alignment horizontal="center" vertical="center"/>
      <protection locked="0"/>
    </xf>
    <xf numFmtId="164" fontId="1" fillId="8" borderId="28">
      <alignment horizontal="center" vertical="center"/>
      <protection locked="0"/>
    </xf>
    <xf numFmtId="164" fontId="2" fillId="10" borderId="37">
      <alignment vertical="center"/>
      <protection locked="0"/>
    </xf>
    <xf numFmtId="164" fontId="2" fillId="2" borderId="7">
      <alignment vertical="center"/>
      <protection locked="0"/>
    </xf>
  </cellStyleXfs>
  <cellXfs count="138">
    <xf numFmtId="164" fontId="0" fillId="0" borderId="0" xfId="0"/>
    <xf numFmtId="164" fontId="2" fillId="2" borderId="0" xfId="0" applyFont="1" applyFill="1" applyBorder="1" applyProtection="1"/>
    <xf numFmtId="164" fontId="4" fillId="2" borderId="0" xfId="0" applyFont="1" applyFill="1" applyBorder="1" applyAlignment="1" applyProtection="1">
      <alignment horizontal="center" vertical="center"/>
    </xf>
    <xf numFmtId="164" fontId="2" fillId="0" borderId="0" xfId="0" applyFont="1" applyBorder="1" applyProtection="1"/>
    <xf numFmtId="164" fontId="2" fillId="2" borderId="0" xfId="0" applyFont="1" applyFill="1" applyBorder="1" applyAlignment="1" applyProtection="1">
      <alignment vertical="center"/>
    </xf>
    <xf numFmtId="164" fontId="2" fillId="0" borderId="0" xfId="0" applyFont="1" applyBorder="1" applyAlignment="1" applyProtection="1">
      <alignment vertical="center"/>
    </xf>
    <xf numFmtId="164" fontId="2" fillId="0" borderId="0" xfId="0" applyFont="1" applyFill="1" applyBorder="1" applyAlignment="1" applyProtection="1">
      <alignment vertical="center"/>
    </xf>
    <xf numFmtId="164" fontId="2" fillId="0" borderId="0" xfId="0" applyFont="1" applyFill="1" applyBorder="1" applyAlignment="1" applyProtection="1">
      <alignment horizontal="left" vertical="center"/>
    </xf>
    <xf numFmtId="164" fontId="4" fillId="2" borderId="0" xfId="0" applyFont="1" applyFill="1" applyBorder="1" applyAlignment="1" applyProtection="1">
      <alignment vertical="center"/>
    </xf>
    <xf numFmtId="164" fontId="4" fillId="2" borderId="0" xfId="0" quotePrefix="1" applyFont="1" applyFill="1" applyBorder="1" applyAlignment="1" applyProtection="1">
      <alignment horizontal="center" vertical="center"/>
    </xf>
    <xf numFmtId="164" fontId="2" fillId="2" borderId="0" xfId="0" applyFont="1" applyFill="1" applyBorder="1" applyAlignment="1" applyProtection="1">
      <alignment horizontal="center" vertical="center"/>
    </xf>
    <xf numFmtId="164" fontId="2" fillId="0" borderId="0" xfId="0" applyFont="1" applyFill="1" applyBorder="1" applyAlignment="1" applyProtection="1">
      <alignment vertical="top"/>
    </xf>
    <xf numFmtId="164" fontId="2" fillId="3" borderId="5" xfId="0" quotePrefix="1" applyFont="1" applyFill="1" applyBorder="1" applyAlignment="1" applyProtection="1">
      <alignment horizontal="center" vertical="center"/>
    </xf>
    <xf numFmtId="167" fontId="2" fillId="3" borderId="6" xfId="0" applyNumberFormat="1" applyFont="1" applyFill="1" applyBorder="1" applyAlignment="1" applyProtection="1">
      <alignment vertical="center"/>
    </xf>
    <xf numFmtId="164" fontId="2" fillId="0" borderId="5" xfId="0" applyFont="1" applyBorder="1" applyAlignment="1" applyProtection="1">
      <alignment horizontal="center" vertical="center"/>
    </xf>
    <xf numFmtId="167" fontId="2" fillId="2" borderId="6" xfId="0" applyNumberFormat="1" applyFont="1" applyFill="1" applyBorder="1" applyAlignment="1" applyProtection="1">
      <alignment vertical="center"/>
    </xf>
    <xf numFmtId="164" fontId="2" fillId="3" borderId="5" xfId="0" applyFont="1" applyFill="1" applyBorder="1" applyAlignment="1" applyProtection="1">
      <alignment horizontal="center" vertical="center"/>
    </xf>
    <xf numFmtId="164" fontId="2" fillId="2" borderId="0" xfId="0" applyFont="1" applyFill="1" applyAlignment="1" applyProtection="1">
      <alignment vertical="center"/>
    </xf>
    <xf numFmtId="164" fontId="2" fillId="2" borderId="0" xfId="0" applyFont="1" applyFill="1" applyBorder="1" applyAlignment="1" applyProtection="1">
      <alignment horizontal="left" vertical="center"/>
    </xf>
    <xf numFmtId="164" fontId="2" fillId="0" borderId="0" xfId="0" applyFont="1" applyAlignment="1" applyProtection="1">
      <alignment vertical="center"/>
    </xf>
    <xf numFmtId="164" fontId="2" fillId="2" borderId="0" xfId="0" applyFont="1" applyFill="1" applyProtection="1"/>
    <xf numFmtId="164" fontId="2" fillId="0" borderId="0" xfId="0" applyFont="1" applyProtection="1"/>
    <xf numFmtId="164" fontId="4" fillId="2" borderId="0" xfId="0" applyFont="1" applyFill="1" applyProtection="1"/>
    <xf numFmtId="164" fontId="4" fillId="0" borderId="0" xfId="0" applyFont="1" applyProtection="1"/>
    <xf numFmtId="164" fontId="4" fillId="2" borderId="1" xfId="0" applyFont="1" applyFill="1" applyBorder="1" applyProtection="1"/>
    <xf numFmtId="164" fontId="6" fillId="2" borderId="0" xfId="0" applyFont="1" applyFill="1" applyAlignment="1" applyProtection="1">
      <alignment horizontal="right"/>
    </xf>
    <xf numFmtId="166" fontId="2" fillId="3" borderId="6" xfId="0" applyNumberFormat="1" applyFont="1" applyFill="1" applyBorder="1" applyAlignment="1" applyProtection="1">
      <alignment horizontal="right" vertical="center"/>
    </xf>
    <xf numFmtId="166" fontId="2" fillId="0" borderId="6" xfId="0" applyNumberFormat="1" applyFont="1" applyBorder="1" applyAlignment="1" applyProtection="1">
      <alignment horizontal="right" vertical="center"/>
    </xf>
    <xf numFmtId="166" fontId="2" fillId="3" borderId="9" xfId="0" applyNumberFormat="1" applyFont="1" applyFill="1" applyBorder="1" applyAlignment="1" applyProtection="1">
      <alignment horizontal="right" vertical="center"/>
    </xf>
    <xf numFmtId="165" fontId="2" fillId="3" borderId="6" xfId="0" applyNumberFormat="1" applyFont="1" applyFill="1" applyBorder="1" applyAlignment="1" applyProtection="1">
      <alignment horizontal="center" vertical="center"/>
    </xf>
    <xf numFmtId="164" fontId="5" fillId="2" borderId="0" xfId="0" applyFont="1" applyFill="1" applyBorder="1" applyAlignment="1" applyProtection="1">
      <alignment horizontal="left" vertical="center"/>
    </xf>
    <xf numFmtId="164" fontId="4" fillId="0" borderId="0" xfId="0" applyFont="1" applyFill="1" applyBorder="1" applyAlignment="1" applyProtection="1">
      <alignment vertical="center"/>
    </xf>
    <xf numFmtId="164" fontId="2" fillId="2" borderId="0" xfId="0" applyFont="1" applyFill="1" applyAlignment="1" applyProtection="1"/>
    <xf numFmtId="164" fontId="2" fillId="2" borderId="1" xfId="0" applyFont="1" applyFill="1" applyBorder="1" applyProtection="1"/>
    <xf numFmtId="164" fontId="2" fillId="3" borderId="14" xfId="0" applyFont="1" applyFill="1" applyBorder="1" applyAlignment="1" applyProtection="1">
      <alignment horizontal="center" vertical="center"/>
    </xf>
    <xf numFmtId="166" fontId="2" fillId="3" borderId="9" xfId="0" applyNumberFormat="1" applyFont="1" applyFill="1" applyBorder="1" applyAlignment="1" applyProtection="1">
      <alignment vertical="center"/>
    </xf>
    <xf numFmtId="164" fontId="2" fillId="0" borderId="16" xfId="0" applyFont="1" applyFill="1" applyBorder="1" applyProtection="1">
      <protection locked="0"/>
    </xf>
    <xf numFmtId="164" fontId="2" fillId="0" borderId="0" xfId="0" applyFont="1" applyFill="1" applyBorder="1" applyProtection="1"/>
    <xf numFmtId="166" fontId="2" fillId="4" borderId="25" xfId="0" applyNumberFormat="1" applyFont="1" applyFill="1" applyBorder="1" applyAlignment="1" applyProtection="1">
      <alignment horizontal="right" vertical="center"/>
    </xf>
    <xf numFmtId="166" fontId="2" fillId="4" borderId="26" xfId="0" applyNumberFormat="1" applyFont="1" applyFill="1" applyBorder="1" applyAlignment="1" applyProtection="1">
      <alignment horizontal="right" vertical="center"/>
    </xf>
    <xf numFmtId="164" fontId="2" fillId="3" borderId="13" xfId="0" applyFont="1" applyFill="1" applyBorder="1" applyAlignment="1" applyProtection="1">
      <alignment horizontal="center" vertical="center"/>
    </xf>
    <xf numFmtId="165" fontId="2" fillId="3" borderId="13" xfId="0" applyNumberFormat="1" applyFont="1" applyFill="1" applyBorder="1" applyAlignment="1" applyProtection="1">
      <alignment horizontal="center" vertical="center"/>
    </xf>
    <xf numFmtId="164" fontId="2" fillId="4" borderId="13" xfId="0" applyFont="1" applyFill="1" applyBorder="1" applyAlignment="1" applyProtection="1">
      <alignment horizontal="center" vertical="center"/>
    </xf>
    <xf numFmtId="164" fontId="2" fillId="6" borderId="13" xfId="0" applyFont="1" applyFill="1" applyBorder="1" applyAlignment="1" applyProtection="1">
      <alignment horizontal="center" vertical="center"/>
      <protection locked="0"/>
    </xf>
    <xf numFmtId="166" fontId="2" fillId="3" borderId="13" xfId="0" applyNumberFormat="1" applyFont="1" applyFill="1" applyBorder="1" applyAlignment="1" applyProtection="1">
      <alignment horizontal="right" vertical="center"/>
    </xf>
    <xf numFmtId="166" fontId="2" fillId="3" borderId="13" xfId="0" applyNumberFormat="1" applyFont="1" applyFill="1" applyBorder="1" applyAlignment="1" applyProtection="1">
      <alignment vertical="center"/>
    </xf>
    <xf numFmtId="164" fontId="2" fillId="3" borderId="13" xfId="0" applyFont="1" applyFill="1" applyBorder="1" applyAlignment="1" applyProtection="1">
      <alignment vertical="center"/>
      <protection locked="0"/>
    </xf>
    <xf numFmtId="164" fontId="2" fillId="6" borderId="29" xfId="0" applyFont="1" applyFill="1" applyBorder="1" applyAlignment="1" applyProtection="1">
      <alignment horizontal="center" vertical="center"/>
      <protection locked="0"/>
    </xf>
    <xf numFmtId="164" fontId="4" fillId="2" borderId="0" xfId="0" applyFont="1" applyFill="1" applyAlignment="1" applyProtection="1">
      <alignment vertical="center"/>
    </xf>
    <xf numFmtId="165" fontId="2" fillId="9" borderId="6" xfId="0" applyNumberFormat="1" applyFont="1" applyFill="1" applyBorder="1" applyAlignment="1" applyProtection="1">
      <alignment horizontal="center" vertical="center"/>
    </xf>
    <xf numFmtId="14" fontId="2" fillId="0" borderId="16" xfId="0" applyNumberFormat="1" applyFont="1" applyFill="1" applyBorder="1" applyAlignment="1" applyProtection="1">
      <alignment horizontal="left"/>
      <protection locked="0"/>
    </xf>
    <xf numFmtId="169" fontId="3" fillId="2" borderId="0" xfId="0" quotePrefix="1" applyNumberFormat="1" applyFont="1" applyFill="1" applyBorder="1" applyAlignment="1" applyProtection="1">
      <alignment horizontal="center" vertical="center" textRotation="60"/>
    </xf>
    <xf numFmtId="164" fontId="2" fillId="7" borderId="30" xfId="4">
      <alignment horizontal="center" vertical="center"/>
      <protection locked="0"/>
    </xf>
    <xf numFmtId="164" fontId="2" fillId="6" borderId="30" xfId="2">
      <alignment horizontal="center" vertical="center"/>
      <protection locked="0"/>
    </xf>
    <xf numFmtId="164" fontId="2" fillId="7" borderId="28" xfId="5">
      <alignment horizontal="center" vertical="center"/>
      <protection locked="0"/>
    </xf>
    <xf numFmtId="164" fontId="2" fillId="6" borderId="28" xfId="3">
      <alignment horizontal="center" vertical="center"/>
      <protection locked="0"/>
    </xf>
    <xf numFmtId="169" fontId="3" fillId="2" borderId="31" xfId="0" quotePrefix="1" applyNumberFormat="1" applyFont="1" applyFill="1" applyBorder="1" applyAlignment="1" applyProtection="1">
      <alignment horizontal="center" vertical="center" textRotation="60"/>
    </xf>
    <xf numFmtId="169" fontId="3" fillId="2" borderId="33" xfId="0" quotePrefix="1" applyNumberFormat="1" applyFont="1" applyFill="1" applyBorder="1" applyAlignment="1" applyProtection="1">
      <alignment horizontal="center" vertical="center" textRotation="60"/>
    </xf>
    <xf numFmtId="169" fontId="3" fillId="2" borderId="34" xfId="0" quotePrefix="1" applyNumberFormat="1" applyFont="1" applyFill="1" applyBorder="1" applyAlignment="1" applyProtection="1">
      <alignment horizontal="center" vertical="center" textRotation="60"/>
    </xf>
    <xf numFmtId="164" fontId="2" fillId="10" borderId="37" xfId="8">
      <alignment vertical="center"/>
      <protection locked="0"/>
    </xf>
    <xf numFmtId="164" fontId="2" fillId="2" borderId="7" xfId="9">
      <alignment vertical="center"/>
      <protection locked="0"/>
    </xf>
    <xf numFmtId="164" fontId="4" fillId="0" borderId="0" xfId="0" applyFont="1" applyFill="1" applyBorder="1" applyAlignment="1" applyProtection="1">
      <alignment horizontal="left" vertical="top" wrapText="1" indent="1"/>
    </xf>
    <xf numFmtId="164" fontId="2" fillId="0" borderId="0" xfId="0" applyFont="1" applyFill="1" applyProtection="1"/>
    <xf numFmtId="164" fontId="8" fillId="0" borderId="0" xfId="0" applyFont="1" applyFill="1" applyAlignment="1" applyProtection="1">
      <alignment horizontal="left"/>
    </xf>
    <xf numFmtId="164" fontId="7" fillId="0" borderId="0" xfId="0" applyFont="1" applyFill="1" applyAlignment="1" applyProtection="1">
      <alignment vertical="center"/>
    </xf>
    <xf numFmtId="164" fontId="2" fillId="0" borderId="0" xfId="0" applyFont="1" applyFill="1" applyAlignment="1" applyProtection="1"/>
    <xf numFmtId="164" fontId="2" fillId="0" borderId="0" xfId="0" applyFont="1" applyFill="1" applyAlignment="1" applyProtection="1">
      <alignment horizontal="left" indent="1"/>
    </xf>
    <xf numFmtId="164" fontId="2" fillId="0" borderId="0" xfId="0" applyFont="1" applyFill="1" applyAlignment="1" applyProtection="1">
      <alignment horizontal="left" indent="2"/>
    </xf>
    <xf numFmtId="164" fontId="2" fillId="0" borderId="0" xfId="0" applyFont="1" applyFill="1" applyAlignment="1" applyProtection="1">
      <alignment horizontal="left" wrapText="1" indent="1"/>
    </xf>
    <xf numFmtId="164" fontId="2" fillId="0" borderId="0" xfId="0" applyFont="1" applyFill="1" applyAlignment="1" applyProtection="1">
      <alignment wrapText="1"/>
    </xf>
    <xf numFmtId="164" fontId="10" fillId="0" borderId="0" xfId="0" applyFont="1" applyBorder="1" applyAlignment="1" applyProtection="1">
      <alignment horizontal="right" vertical="center"/>
    </xf>
    <xf numFmtId="164" fontId="8" fillId="0" borderId="0" xfId="0" applyFont="1" applyAlignment="1" applyProtection="1">
      <alignment horizontal="left" vertical="center"/>
    </xf>
    <xf numFmtId="164" fontId="2" fillId="2" borderId="0" xfId="0" applyFont="1" applyFill="1" applyBorder="1" applyAlignment="1" applyProtection="1">
      <alignment horizontal="left" vertical="center"/>
    </xf>
    <xf numFmtId="164" fontId="2" fillId="0" borderId="35" xfId="0" applyFont="1" applyBorder="1" applyAlignment="1" applyProtection="1">
      <alignment horizontal="center" vertical="center" wrapText="1"/>
    </xf>
    <xf numFmtId="164" fontId="2" fillId="0" borderId="9" xfId="0" applyFont="1" applyBorder="1" applyAlignment="1" applyProtection="1">
      <alignment horizontal="center" vertical="center" wrapText="1"/>
    </xf>
    <xf numFmtId="166" fontId="2" fillId="9" borderId="6" xfId="0" applyNumberFormat="1" applyFont="1" applyFill="1" applyBorder="1" applyAlignment="1" applyProtection="1">
      <alignment horizontal="right" vertical="center"/>
    </xf>
    <xf numFmtId="168" fontId="2" fillId="2" borderId="0" xfId="0" applyNumberFormat="1" applyFont="1" applyFill="1" applyBorder="1" applyAlignment="1" applyProtection="1">
      <alignment horizontal="left" vertical="center"/>
    </xf>
    <xf numFmtId="164" fontId="2" fillId="2" borderId="15" xfId="0" applyFont="1" applyFill="1" applyBorder="1" applyAlignment="1" applyProtection="1">
      <alignment horizontal="center" vertical="center"/>
    </xf>
    <xf numFmtId="164" fontId="2" fillId="2" borderId="36" xfId="0" applyFont="1" applyFill="1" applyBorder="1" applyAlignment="1" applyProtection="1">
      <alignment horizontal="center" vertical="center"/>
    </xf>
    <xf numFmtId="164" fontId="2" fillId="0" borderId="9" xfId="0" applyFont="1" applyBorder="1" applyAlignment="1" applyProtection="1">
      <alignment horizontal="center" vertical="center" wrapText="1"/>
    </xf>
    <xf numFmtId="164" fontId="2" fillId="0" borderId="35" xfId="0" applyFont="1" applyBorder="1" applyAlignment="1" applyProtection="1">
      <alignment horizontal="center" vertical="center" wrapText="1"/>
    </xf>
    <xf numFmtId="164" fontId="2" fillId="2" borderId="9" xfId="0" applyFont="1" applyFill="1" applyBorder="1" applyAlignment="1" applyProtection="1">
      <alignment horizontal="center" vertical="center" wrapText="1"/>
    </xf>
    <xf numFmtId="164" fontId="2" fillId="2" borderId="35" xfId="0" applyFont="1" applyFill="1" applyBorder="1" applyAlignment="1" applyProtection="1">
      <alignment horizontal="center" vertical="center" wrapText="1"/>
    </xf>
    <xf numFmtId="169" fontId="3" fillId="2" borderId="27" xfId="0" quotePrefix="1" applyNumberFormat="1" applyFont="1" applyFill="1" applyBorder="1" applyAlignment="1" applyProtection="1">
      <alignment horizontal="center" vertical="center" textRotation="60"/>
    </xf>
    <xf numFmtId="164" fontId="2" fillId="2" borderId="0" xfId="0" applyFont="1" applyFill="1" applyAlignment="1" applyProtection="1">
      <alignment horizontal="left" vertical="center"/>
    </xf>
    <xf numFmtId="169" fontId="3" fillId="2" borderId="32" xfId="0" quotePrefix="1" applyNumberFormat="1" applyFont="1" applyFill="1" applyBorder="1" applyAlignment="1" applyProtection="1">
      <alignment horizontal="center" vertical="center" textRotation="60"/>
    </xf>
    <xf numFmtId="164" fontId="2" fillId="4" borderId="8" xfId="0" applyFont="1" applyFill="1" applyBorder="1" applyAlignment="1" applyProtection="1">
      <alignment horizontal="center" vertical="center"/>
    </xf>
    <xf numFmtId="164" fontId="2" fillId="4" borderId="12" xfId="0" applyFont="1" applyFill="1" applyBorder="1" applyAlignment="1" applyProtection="1">
      <alignment horizontal="center" vertical="center"/>
    </xf>
    <xf numFmtId="164" fontId="2" fillId="4" borderId="10" xfId="0" applyFont="1" applyFill="1" applyBorder="1" applyAlignment="1" applyProtection="1">
      <alignment horizontal="center" vertical="center"/>
    </xf>
    <xf numFmtId="164" fontId="2" fillId="4" borderId="11" xfId="0" applyFont="1" applyFill="1" applyBorder="1" applyAlignment="1" applyProtection="1">
      <alignment horizontal="center" vertical="center"/>
    </xf>
    <xf numFmtId="164" fontId="2" fillId="4" borderId="24" xfId="0" applyFont="1" applyFill="1" applyBorder="1" applyAlignment="1" applyProtection="1">
      <alignment horizontal="center" vertical="center"/>
    </xf>
    <xf numFmtId="164" fontId="2" fillId="4" borderId="25" xfId="0" applyFont="1" applyFill="1" applyBorder="1" applyAlignment="1" applyProtection="1">
      <alignment horizontal="center" vertical="center"/>
    </xf>
    <xf numFmtId="164" fontId="2" fillId="2" borderId="14" xfId="0" applyFont="1" applyFill="1" applyBorder="1" applyAlignment="1" applyProtection="1">
      <alignment horizontal="center" vertical="center"/>
    </xf>
    <xf numFmtId="164" fontId="2" fillId="2" borderId="34" xfId="0" applyFont="1" applyFill="1" applyBorder="1" applyAlignment="1" applyProtection="1">
      <alignment horizontal="center" vertical="center"/>
    </xf>
    <xf numFmtId="164" fontId="2" fillId="2" borderId="9" xfId="0" applyFont="1" applyFill="1" applyBorder="1" applyAlignment="1" applyProtection="1">
      <alignment horizontal="center" vertical="center"/>
    </xf>
    <xf numFmtId="164" fontId="2" fillId="2" borderId="35" xfId="0" applyFont="1" applyFill="1" applyBorder="1" applyAlignment="1" applyProtection="1">
      <alignment horizontal="center" vertical="center"/>
    </xf>
    <xf numFmtId="164" fontId="2" fillId="2" borderId="1" xfId="0" applyFont="1" applyFill="1" applyBorder="1" applyAlignment="1" applyProtection="1">
      <alignment vertical="center"/>
      <protection locked="0"/>
    </xf>
    <xf numFmtId="164" fontId="5" fillId="2" borderId="0" xfId="0" applyFont="1" applyFill="1" applyBorder="1" applyAlignment="1" applyProtection="1">
      <alignment horizontal="left" vertical="center"/>
    </xf>
    <xf numFmtId="164" fontId="2" fillId="2" borderId="0" xfId="0" applyFont="1" applyFill="1" applyBorder="1" applyAlignment="1" applyProtection="1">
      <alignment horizontal="left" vertical="center"/>
    </xf>
    <xf numFmtId="164" fontId="2" fillId="0" borderId="0" xfId="0" applyFont="1" applyFill="1" applyBorder="1" applyAlignment="1" applyProtection="1">
      <alignment horizontal="left" vertical="center"/>
    </xf>
    <xf numFmtId="168" fontId="2" fillId="0" borderId="0" xfId="0" applyNumberFormat="1" applyFont="1" applyFill="1" applyBorder="1" applyAlignment="1" applyProtection="1">
      <alignment horizontal="left" vertical="center"/>
    </xf>
    <xf numFmtId="164" fontId="2" fillId="4" borderId="2" xfId="0" applyFont="1" applyFill="1" applyBorder="1" applyAlignment="1" applyProtection="1">
      <alignment horizontal="center" vertical="center"/>
    </xf>
    <xf numFmtId="164" fontId="2" fillId="4" borderId="3" xfId="0" applyFont="1" applyFill="1" applyBorder="1" applyAlignment="1" applyProtection="1">
      <alignment horizontal="center" vertical="center"/>
    </xf>
    <xf numFmtId="164" fontId="2" fillId="4" borderId="4" xfId="0" applyFont="1" applyFill="1" applyBorder="1" applyAlignment="1" applyProtection="1">
      <alignment horizontal="center" vertical="center"/>
    </xf>
    <xf numFmtId="169" fontId="3" fillId="2" borderId="12" xfId="0" quotePrefix="1" applyNumberFormat="1" applyFont="1" applyFill="1" applyBorder="1" applyAlignment="1" applyProtection="1">
      <alignment horizontal="center" vertical="center" textRotation="60"/>
    </xf>
    <xf numFmtId="164" fontId="7" fillId="0" borderId="0" xfId="0" applyFont="1" applyFill="1" applyAlignment="1" applyProtection="1">
      <alignment horizontal="center" vertical="center"/>
    </xf>
    <xf numFmtId="164" fontId="7" fillId="0" borderId="38" xfId="0" applyFont="1" applyFill="1" applyBorder="1" applyAlignment="1" applyProtection="1">
      <alignment horizontal="center" vertical="center"/>
    </xf>
    <xf numFmtId="164" fontId="2" fillId="5" borderId="22" xfId="0" quotePrefix="1" applyFont="1" applyFill="1" applyBorder="1" applyAlignment="1" applyProtection="1">
      <alignment horizontal="left" vertical="top" wrapText="1" indent="3"/>
    </xf>
    <xf numFmtId="164" fontId="2" fillId="5" borderId="0" xfId="0" quotePrefix="1" applyFont="1" applyFill="1" applyBorder="1" applyAlignment="1" applyProtection="1">
      <alignment horizontal="left" vertical="top" wrapText="1" indent="3"/>
    </xf>
    <xf numFmtId="164" fontId="2" fillId="5" borderId="23" xfId="0" quotePrefix="1" applyFont="1" applyFill="1" applyBorder="1" applyAlignment="1" applyProtection="1">
      <alignment horizontal="left" vertical="top" wrapText="1" indent="3"/>
    </xf>
    <xf numFmtId="164" fontId="4" fillId="5" borderId="22" xfId="0" quotePrefix="1" applyFont="1" applyFill="1" applyBorder="1" applyAlignment="1" applyProtection="1">
      <alignment horizontal="left" vertical="top" wrapText="1" indent="3"/>
    </xf>
    <xf numFmtId="164" fontId="2" fillId="5" borderId="0" xfId="0" applyFont="1" applyFill="1" applyBorder="1" applyAlignment="1" applyProtection="1">
      <alignment horizontal="left" vertical="top" indent="3"/>
    </xf>
    <xf numFmtId="164" fontId="2" fillId="5" borderId="23" xfId="0" applyFont="1" applyFill="1" applyBorder="1" applyAlignment="1" applyProtection="1">
      <alignment horizontal="left" vertical="top" indent="3"/>
    </xf>
    <xf numFmtId="164" fontId="2" fillId="5" borderId="0" xfId="0" applyFont="1" applyFill="1" applyBorder="1" applyAlignment="1" applyProtection="1">
      <alignment horizontal="left" vertical="top" wrapText="1" indent="3"/>
    </xf>
    <xf numFmtId="164" fontId="2" fillId="5" borderId="23" xfId="0" applyFont="1" applyFill="1" applyBorder="1" applyAlignment="1" applyProtection="1">
      <alignment horizontal="left" vertical="top" wrapText="1" indent="3"/>
    </xf>
    <xf numFmtId="164" fontId="2" fillId="5" borderId="22" xfId="0" applyFont="1" applyFill="1" applyBorder="1" applyAlignment="1" applyProtection="1">
      <alignment horizontal="left" vertical="top" wrapText="1" indent="6"/>
    </xf>
    <xf numFmtId="164" fontId="2" fillId="5" borderId="0" xfId="0" applyFont="1" applyFill="1" applyBorder="1" applyAlignment="1" applyProtection="1">
      <alignment horizontal="left" vertical="top" wrapText="1" indent="6"/>
    </xf>
    <xf numFmtId="164" fontId="2" fillId="5" borderId="23" xfId="0" applyFont="1" applyFill="1" applyBorder="1" applyAlignment="1" applyProtection="1">
      <alignment horizontal="left" vertical="top" wrapText="1" indent="6"/>
    </xf>
    <xf numFmtId="164" fontId="4" fillId="5" borderId="17" xfId="0" applyFont="1" applyFill="1" applyBorder="1" applyAlignment="1" applyProtection="1">
      <alignment horizontal="left" wrapText="1" indent="1"/>
    </xf>
    <xf numFmtId="164" fontId="4" fillId="5" borderId="18" xfId="0" applyFont="1" applyFill="1" applyBorder="1" applyAlignment="1" applyProtection="1">
      <alignment horizontal="left" wrapText="1" indent="1"/>
    </xf>
    <xf numFmtId="164" fontId="4" fillId="5" borderId="19" xfId="0" applyFont="1" applyFill="1" applyBorder="1" applyAlignment="1" applyProtection="1">
      <alignment horizontal="left" wrapText="1" indent="1"/>
    </xf>
    <xf numFmtId="164" fontId="4" fillId="5" borderId="22" xfId="0" applyFont="1" applyFill="1" applyBorder="1" applyAlignment="1" applyProtection="1">
      <alignment horizontal="left" vertical="top" wrapText="1" indent="1"/>
    </xf>
    <xf numFmtId="164" fontId="2" fillId="5" borderId="0" xfId="0" applyFont="1" applyFill="1" applyBorder="1" applyAlignment="1" applyProtection="1">
      <alignment horizontal="left" vertical="top" wrapText="1" indent="1"/>
    </xf>
    <xf numFmtId="164" fontId="2" fillId="5" borderId="23" xfId="0" applyFont="1" applyFill="1" applyBorder="1" applyAlignment="1" applyProtection="1">
      <alignment horizontal="left" vertical="top" wrapText="1" indent="1"/>
    </xf>
    <xf numFmtId="164" fontId="4" fillId="5" borderId="22" xfId="0" applyFont="1" applyFill="1" applyBorder="1" applyAlignment="1" applyProtection="1">
      <alignment horizontal="left" vertical="top" wrapText="1" indent="3"/>
    </xf>
    <xf numFmtId="164" fontId="4" fillId="5" borderId="0" xfId="0" applyFont="1" applyFill="1" applyBorder="1" applyAlignment="1" applyProtection="1">
      <alignment horizontal="left" vertical="top" wrapText="1" indent="3"/>
    </xf>
    <xf numFmtId="164" fontId="4" fillId="5" borderId="23" xfId="0" applyFont="1" applyFill="1" applyBorder="1" applyAlignment="1" applyProtection="1">
      <alignment horizontal="left" vertical="top" wrapText="1" indent="3"/>
    </xf>
    <xf numFmtId="164" fontId="4" fillId="5" borderId="0" xfId="0" applyFont="1" applyFill="1" applyBorder="1" applyAlignment="1" applyProtection="1">
      <alignment horizontal="left" vertical="top" wrapText="1" indent="1"/>
    </xf>
    <xf numFmtId="164" fontId="4" fillId="5" borderId="23" xfId="0" applyFont="1" applyFill="1" applyBorder="1" applyAlignment="1" applyProtection="1">
      <alignment horizontal="left" vertical="top" wrapText="1" indent="1"/>
    </xf>
    <xf numFmtId="164" fontId="4" fillId="5" borderId="20" xfId="0" quotePrefix="1" applyFont="1" applyFill="1" applyBorder="1" applyAlignment="1" applyProtection="1">
      <alignment horizontal="left" vertical="top" wrapText="1" indent="3"/>
    </xf>
    <xf numFmtId="164" fontId="2" fillId="5" borderId="1" xfId="0" applyFont="1" applyFill="1" applyBorder="1" applyAlignment="1" applyProtection="1">
      <alignment horizontal="left" vertical="top" indent="3"/>
    </xf>
    <xf numFmtId="164" fontId="2" fillId="5" borderId="21" xfId="0" applyFont="1" applyFill="1" applyBorder="1" applyAlignment="1" applyProtection="1">
      <alignment horizontal="left" vertical="top" indent="3"/>
    </xf>
    <xf numFmtId="164" fontId="2" fillId="5" borderId="22" xfId="0" applyFont="1" applyFill="1" applyBorder="1" applyAlignment="1" applyProtection="1">
      <alignment horizontal="left" vertical="top" wrapText="1" indent="1"/>
    </xf>
    <xf numFmtId="164" fontId="2" fillId="5" borderId="0" xfId="0" applyFont="1" applyFill="1" applyBorder="1" applyAlignment="1" applyProtection="1">
      <alignment horizontal="left" vertical="top" indent="1"/>
    </xf>
    <xf numFmtId="164" fontId="2" fillId="5" borderId="23" xfId="0" applyFont="1" applyFill="1" applyBorder="1" applyAlignment="1" applyProtection="1">
      <alignment horizontal="left" vertical="top" indent="1"/>
    </xf>
    <xf numFmtId="164" fontId="2" fillId="5" borderId="22" xfId="0" quotePrefix="1" applyFont="1" applyFill="1" applyBorder="1" applyAlignment="1" applyProtection="1">
      <alignment horizontal="left" vertical="top" wrapText="1" indent="5"/>
    </xf>
    <xf numFmtId="164" fontId="2" fillId="5" borderId="0" xfId="0" applyFont="1" applyFill="1" applyBorder="1" applyAlignment="1" applyProtection="1">
      <alignment horizontal="left" vertical="top" wrapText="1" indent="5"/>
    </xf>
    <xf numFmtId="164" fontId="2" fillId="5" borderId="23" xfId="0" applyFont="1" applyFill="1" applyBorder="1" applyAlignment="1" applyProtection="1">
      <alignment horizontal="left" vertical="top" wrapText="1" indent="5"/>
    </xf>
  </cellXfs>
  <cellStyles count="10">
    <cellStyle name="60% - Accent5" xfId="1"/>
    <cellStyle name="Comment" xfId="8"/>
    <cellStyle name="CommentAlt" xfId="9"/>
    <cellStyle name="Normal" xfId="0" builtinId="0"/>
    <cellStyle name="TimeSlotA" xfId="2"/>
    <cellStyle name="TimeSlotAltA" xfId="4"/>
    <cellStyle name="TimeSlotAltB" xfId="5"/>
    <cellStyle name="TimeSlotB" xfId="3"/>
    <cellStyle name="TimeSlotRedA" xfId="6"/>
    <cellStyle name="TimeSlotRedB" xfId="7"/>
  </cellStyles>
  <dxfs count="0"/>
  <tableStyles count="1" defaultTableStyle="TableStyleMedium9" defaultPivotStyle="PivotStyleLight16">
    <tableStyle name="Test" pivot="0" count="0"/>
  </tableStyles>
  <colors>
    <mruColors>
      <color rgb="FFDBE5F1"/>
      <color rgb="FFFFFFE1"/>
      <color rgb="FFFAB4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STER">
    <pageSetUpPr autoPageBreaks="0" fitToPage="1"/>
  </sheetPr>
  <dimension ref="B2:BI43"/>
  <sheetViews>
    <sheetView showGridLines="0" showRowColHeaders="0" showRuler="0" zoomScalePageLayoutView="70" workbookViewId="0">
      <selection activeCell="BI9" sqref="BI9"/>
    </sheetView>
  </sheetViews>
  <sheetFormatPr defaultRowHeight="15"/>
  <cols>
    <col min="1" max="1" width="3.33203125" style="21" customWidth="1"/>
    <col min="2" max="2" width="8.1640625" style="21" customWidth="1"/>
    <col min="3" max="3" width="10" style="21" customWidth="1"/>
    <col min="4" max="52" width="2.5" style="21" customWidth="1"/>
    <col min="53" max="53" width="2.33203125" style="21" customWidth="1"/>
    <col min="54" max="55" width="8.83203125" style="21" hidden="1" customWidth="1"/>
    <col min="56" max="56" width="9.6640625" style="21" hidden="1" customWidth="1"/>
    <col min="57" max="57" width="7.6640625" style="21" hidden="1" customWidth="1"/>
    <col min="58" max="58" width="8" style="21" hidden="1" customWidth="1"/>
    <col min="59" max="60" width="8.83203125" style="21" hidden="1" customWidth="1"/>
    <col min="61" max="61" width="58.33203125" style="21" customWidth="1"/>
    <col min="62" max="62" width="3" style="21" customWidth="1"/>
    <col min="63" max="16384" width="9.33203125" style="21"/>
  </cols>
  <sheetData>
    <row r="2" spans="2:61" s="3" customFormat="1" ht="14.25" customHeight="1">
      <c r="B2" s="7" t="s">
        <v>10</v>
      </c>
      <c r="C2" s="99" t="str">
        <f>IF(Ship = 0, "", Ship)</f>
        <v>Karen C</v>
      </c>
      <c r="D2" s="99"/>
      <c r="E2" s="99"/>
      <c r="F2" s="99"/>
      <c r="G2" s="99"/>
      <c r="H2" s="99"/>
      <c r="I2" s="99"/>
      <c r="J2" s="99"/>
      <c r="K2" s="99" t="s">
        <v>11</v>
      </c>
      <c r="L2" s="99"/>
      <c r="M2" s="99"/>
      <c r="N2" s="99"/>
      <c r="O2" s="100"/>
      <c r="P2" s="100"/>
      <c r="Q2" s="100"/>
      <c r="R2" s="100"/>
      <c r="S2" s="100"/>
      <c r="T2" s="100"/>
      <c r="U2" s="100"/>
      <c r="V2" s="100"/>
      <c r="W2" s="100"/>
      <c r="X2" s="76" t="s">
        <v>17</v>
      </c>
      <c r="Y2" s="76"/>
      <c r="Z2" s="76"/>
      <c r="AA2" s="76"/>
      <c r="AB2" s="76" t="str">
        <f>IF(Name = 0, "", Name)</f>
        <v/>
      </c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99" t="s">
        <v>18</v>
      </c>
      <c r="AQ2" s="99"/>
      <c r="AR2" s="99"/>
      <c r="AS2" s="98" t="str">
        <f>IF(Rank = 0, "", Rank)</f>
        <v/>
      </c>
      <c r="AT2" s="98"/>
      <c r="AU2" s="98"/>
      <c r="AV2" s="98"/>
      <c r="AW2" s="98"/>
      <c r="AX2" s="98"/>
      <c r="AY2" s="98"/>
      <c r="AZ2" s="98"/>
      <c r="BA2" s="98"/>
      <c r="BB2" s="2"/>
      <c r="BC2" s="2"/>
      <c r="BD2" s="2"/>
      <c r="BE2" s="2"/>
      <c r="BF2" s="2"/>
      <c r="BG2" s="2"/>
      <c r="BH2" s="4"/>
      <c r="BI2" s="70" t="str">
        <f>IF(Archived, "Archived!", "")</f>
        <v/>
      </c>
    </row>
    <row r="3" spans="2:61" s="11" customFormat="1" ht="14.25" customHeight="1">
      <c r="B3" s="8"/>
      <c r="C3" s="8"/>
      <c r="D3" s="8"/>
      <c r="E3" s="2"/>
      <c r="F3" s="2"/>
      <c r="G3" s="2"/>
      <c r="H3" s="2"/>
      <c r="I3" s="2"/>
      <c r="J3" s="2"/>
      <c r="K3" s="2"/>
      <c r="L3" s="9"/>
      <c r="M3" s="9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10"/>
      <c r="AQ3" s="10"/>
      <c r="AR3" s="10"/>
      <c r="AS3" s="18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4"/>
      <c r="BI3" s="6"/>
    </row>
    <row r="4" spans="2:61" s="11" customFormat="1" ht="14.25" customHeight="1">
      <c r="B4" s="101" t="s">
        <v>7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102"/>
      <c r="BB4" s="102"/>
      <c r="BC4" s="102"/>
      <c r="BD4" s="102"/>
      <c r="BE4" s="102"/>
      <c r="BF4" s="102"/>
      <c r="BG4" s="102"/>
      <c r="BH4" s="102"/>
      <c r="BI4" s="103"/>
    </row>
    <row r="5" spans="2:61" s="3" customFormat="1" ht="33.75" customHeight="1">
      <c r="B5" s="92" t="s">
        <v>13</v>
      </c>
      <c r="C5" s="94" t="s">
        <v>14</v>
      </c>
      <c r="D5" s="104">
        <v>0</v>
      </c>
      <c r="E5" s="83"/>
      <c r="F5" s="83">
        <v>4.1666666666666664E-2</v>
      </c>
      <c r="G5" s="83"/>
      <c r="H5" s="83">
        <v>8.3333333333333329E-2</v>
      </c>
      <c r="I5" s="83"/>
      <c r="J5" s="83">
        <v>0.125</v>
      </c>
      <c r="K5" s="83"/>
      <c r="L5" s="83">
        <v>0.16666666666666666</v>
      </c>
      <c r="M5" s="83"/>
      <c r="N5" s="83">
        <v>0.20833333333333334</v>
      </c>
      <c r="O5" s="83"/>
      <c r="P5" s="83">
        <v>0.25</v>
      </c>
      <c r="Q5" s="83"/>
      <c r="R5" s="83">
        <v>0.29166666666666669</v>
      </c>
      <c r="S5" s="83"/>
      <c r="T5" s="83">
        <v>0.33333333333333331</v>
      </c>
      <c r="U5" s="83"/>
      <c r="V5" s="83">
        <v>0.375</v>
      </c>
      <c r="W5" s="83"/>
      <c r="X5" s="83">
        <v>0.41666666666666669</v>
      </c>
      <c r="Y5" s="83"/>
      <c r="Z5" s="83">
        <v>0.45833333333333331</v>
      </c>
      <c r="AA5" s="83"/>
      <c r="AB5" s="83">
        <v>0.5</v>
      </c>
      <c r="AC5" s="83"/>
      <c r="AD5" s="83">
        <v>0.54166666666666663</v>
      </c>
      <c r="AE5" s="83"/>
      <c r="AF5" s="83">
        <v>0.58333333333333337</v>
      </c>
      <c r="AG5" s="83"/>
      <c r="AH5" s="83">
        <v>0.625</v>
      </c>
      <c r="AI5" s="83"/>
      <c r="AJ5" s="83">
        <v>0.66666666666666663</v>
      </c>
      <c r="AK5" s="83"/>
      <c r="AL5" s="83">
        <v>0.70833333333333337</v>
      </c>
      <c r="AM5" s="83"/>
      <c r="AN5" s="83">
        <v>0.75</v>
      </c>
      <c r="AO5" s="83"/>
      <c r="AP5" s="83">
        <v>0.79166666666666663</v>
      </c>
      <c r="AQ5" s="83"/>
      <c r="AR5" s="83">
        <v>0.83333333333333337</v>
      </c>
      <c r="AS5" s="83"/>
      <c r="AT5" s="83">
        <v>0.875</v>
      </c>
      <c r="AU5" s="83"/>
      <c r="AV5" s="83">
        <v>0.91666666666666663</v>
      </c>
      <c r="AW5" s="83"/>
      <c r="AX5" s="83">
        <v>0.95833333333333337</v>
      </c>
      <c r="AY5" s="83"/>
      <c r="AZ5" s="83">
        <v>1</v>
      </c>
      <c r="BA5" s="85"/>
      <c r="BB5" s="79" t="s">
        <v>3</v>
      </c>
      <c r="BC5" s="74" t="s">
        <v>51</v>
      </c>
      <c r="BD5" s="79" t="s">
        <v>4</v>
      </c>
      <c r="BE5" s="79" t="s">
        <v>8</v>
      </c>
      <c r="BF5" s="79" t="s">
        <v>9</v>
      </c>
      <c r="BG5" s="79" t="s">
        <v>5</v>
      </c>
      <c r="BH5" s="81" t="s">
        <v>15</v>
      </c>
      <c r="BI5" s="77" t="s">
        <v>6</v>
      </c>
    </row>
    <row r="6" spans="2:61" s="3" customFormat="1" ht="3.75" customHeight="1">
      <c r="B6" s="93"/>
      <c r="C6" s="95"/>
      <c r="D6" s="56"/>
      <c r="E6" s="57"/>
      <c r="F6" s="51"/>
      <c r="G6" s="57"/>
      <c r="H6" s="51"/>
      <c r="I6" s="57"/>
      <c r="J6" s="51"/>
      <c r="K6" s="57"/>
      <c r="L6" s="51"/>
      <c r="M6" s="57"/>
      <c r="N6" s="51"/>
      <c r="O6" s="57"/>
      <c r="P6" s="51"/>
      <c r="Q6" s="57"/>
      <c r="R6" s="51"/>
      <c r="S6" s="57"/>
      <c r="T6" s="51"/>
      <c r="U6" s="57"/>
      <c r="V6" s="51"/>
      <c r="W6" s="57"/>
      <c r="X6" s="51"/>
      <c r="Y6" s="57"/>
      <c r="Z6" s="51"/>
      <c r="AA6" s="57"/>
      <c r="AB6" s="51"/>
      <c r="AC6" s="57"/>
      <c r="AD6" s="51"/>
      <c r="AE6" s="57"/>
      <c r="AF6" s="51"/>
      <c r="AG6" s="57"/>
      <c r="AH6" s="51"/>
      <c r="AI6" s="57"/>
      <c r="AJ6" s="51"/>
      <c r="AK6" s="57"/>
      <c r="AL6" s="51"/>
      <c r="AM6" s="57"/>
      <c r="AN6" s="51"/>
      <c r="AO6" s="57"/>
      <c r="AP6" s="51"/>
      <c r="AQ6" s="57"/>
      <c r="AR6" s="51"/>
      <c r="AS6" s="57"/>
      <c r="AT6" s="51"/>
      <c r="AU6" s="57"/>
      <c r="AV6" s="51"/>
      <c r="AW6" s="57"/>
      <c r="AX6" s="51"/>
      <c r="AY6" s="57"/>
      <c r="AZ6" s="51"/>
      <c r="BA6" s="58"/>
      <c r="BB6" s="80"/>
      <c r="BC6" s="73"/>
      <c r="BD6" s="80"/>
      <c r="BE6" s="80"/>
      <c r="BF6" s="80"/>
      <c r="BG6" s="80"/>
      <c r="BH6" s="82"/>
      <c r="BI6" s="78"/>
    </row>
    <row r="7" spans="2:61" s="3" customFormat="1" ht="13.5" customHeight="1">
      <c r="B7" s="12">
        <v>1</v>
      </c>
      <c r="C7" s="29" t="str">
        <f t="shared" ref="C7:C37" si="0">TEXT(WEEKDAY(DATE(YEAR(Month),MONTH(Month),B7)), "ddd")</f>
        <v>Sun</v>
      </c>
      <c r="D7" s="86"/>
      <c r="E7" s="53"/>
      <c r="F7" s="55"/>
      <c r="G7" s="53"/>
      <c r="H7" s="55"/>
      <c r="I7" s="53"/>
      <c r="J7" s="55"/>
      <c r="K7" s="53"/>
      <c r="L7" s="55"/>
      <c r="M7" s="53"/>
      <c r="N7" s="55"/>
      <c r="O7" s="53"/>
      <c r="P7" s="55"/>
      <c r="Q7" s="53"/>
      <c r="R7" s="55"/>
      <c r="S7" s="53"/>
      <c r="T7" s="55"/>
      <c r="U7" s="53"/>
      <c r="V7" s="55"/>
      <c r="W7" s="53"/>
      <c r="X7" s="55"/>
      <c r="Y7" s="53"/>
      <c r="Z7" s="55"/>
      <c r="AA7" s="53"/>
      <c r="AB7" s="55"/>
      <c r="AC7" s="53"/>
      <c r="AD7" s="55"/>
      <c r="AE7" s="53"/>
      <c r="AF7" s="55"/>
      <c r="AG7" s="53"/>
      <c r="AH7" s="55"/>
      <c r="AI7" s="53"/>
      <c r="AJ7" s="55"/>
      <c r="AK7" s="53"/>
      <c r="AL7" s="55"/>
      <c r="AM7" s="53"/>
      <c r="AN7" s="55"/>
      <c r="AO7" s="53"/>
      <c r="AP7" s="55"/>
      <c r="AQ7" s="53"/>
      <c r="AR7" s="55"/>
      <c r="AS7" s="53"/>
      <c r="AT7" s="55"/>
      <c r="AU7" s="53"/>
      <c r="AV7" s="55"/>
      <c r="AW7" s="53"/>
      <c r="AX7" s="55"/>
      <c r="AY7" s="53"/>
      <c r="AZ7" s="55"/>
      <c r="BA7" s="88"/>
      <c r="BB7" s="26">
        <f t="shared" ref="BB7:BB37" si="1">BD7+BE7+BF7</f>
        <v>0</v>
      </c>
      <c r="BC7" s="26">
        <f>IF(C7="Sun", COUNTA(E7:AZ7)/2, IF(C7="Sat", MAX((COUNTA(E7:AZ7)/2) - 4, 0), MAX((COUNTA(E7:AZ7)/2)-8, 0)))</f>
        <v>0</v>
      </c>
      <c r="BD7" s="26">
        <f t="shared" ref="BD7:BD37" si="2">COUNTIF(E7:AZ7,"W")/2</f>
        <v>0</v>
      </c>
      <c r="BE7" s="26">
        <f t="shared" ref="BE7:BE37" si="3">COUNTIF(E7:AZ7,"O")/2</f>
        <v>0</v>
      </c>
      <c r="BF7" s="26">
        <f t="shared" ref="BF7:BF37" si="4">COUNTIF(E7:AZ7,"E")/2</f>
        <v>0</v>
      </c>
      <c r="BG7" s="26">
        <f t="shared" ref="BG7:BG37" si="5">24-BB7</f>
        <v>24</v>
      </c>
      <c r="BH7" s="13">
        <f ca="1">SevenDayRest(BH7)</f>
        <v>168</v>
      </c>
      <c r="BI7" s="59"/>
    </row>
    <row r="8" spans="2:61" s="3" customFormat="1" ht="13.5" customHeight="1">
      <c r="B8" s="14">
        <v>2</v>
      </c>
      <c r="C8" s="49" t="str">
        <f t="shared" si="0"/>
        <v>Mon</v>
      </c>
      <c r="D8" s="86"/>
      <c r="E8" s="52"/>
      <c r="F8" s="54"/>
      <c r="G8" s="52"/>
      <c r="H8" s="54"/>
      <c r="I8" s="52"/>
      <c r="J8" s="54"/>
      <c r="K8" s="52"/>
      <c r="L8" s="54"/>
      <c r="M8" s="52"/>
      <c r="N8" s="54"/>
      <c r="O8" s="52"/>
      <c r="P8" s="54"/>
      <c r="Q8" s="52"/>
      <c r="R8" s="54"/>
      <c r="S8" s="52"/>
      <c r="T8" s="54"/>
      <c r="U8" s="52"/>
      <c r="V8" s="54"/>
      <c r="W8" s="52"/>
      <c r="X8" s="54"/>
      <c r="Y8" s="52"/>
      <c r="Z8" s="54"/>
      <c r="AA8" s="52"/>
      <c r="AB8" s="54"/>
      <c r="AC8" s="52"/>
      <c r="AD8" s="54"/>
      <c r="AE8" s="52"/>
      <c r="AF8" s="54"/>
      <c r="AG8" s="52"/>
      <c r="AH8" s="54"/>
      <c r="AI8" s="52"/>
      <c r="AJ8" s="54"/>
      <c r="AK8" s="52"/>
      <c r="AL8" s="54"/>
      <c r="AM8" s="52"/>
      <c r="AN8" s="54"/>
      <c r="AO8" s="52"/>
      <c r="AP8" s="54"/>
      <c r="AQ8" s="52"/>
      <c r="AR8" s="54"/>
      <c r="AS8" s="52"/>
      <c r="AT8" s="54"/>
      <c r="AU8" s="52"/>
      <c r="AV8" s="54"/>
      <c r="AW8" s="52"/>
      <c r="AX8" s="54"/>
      <c r="AY8" s="52"/>
      <c r="AZ8" s="54"/>
      <c r="BA8" s="88"/>
      <c r="BB8" s="27">
        <f t="shared" si="1"/>
        <v>0</v>
      </c>
      <c r="BC8" s="75">
        <f t="shared" ref="BC8:BC37" si="6">IF(C8="Sun", COUNTA(E8:AZ8)/2, IF(C8="Sat", MAX((COUNTA(E8:AZ8)/2) - 4, 0), MAX((COUNTA(E8:AZ8)/2)-8, 0)))</f>
        <v>0</v>
      </c>
      <c r="BD8" s="27">
        <f t="shared" si="2"/>
        <v>0</v>
      </c>
      <c r="BE8" s="27">
        <f t="shared" si="3"/>
        <v>0</v>
      </c>
      <c r="BF8" s="27">
        <f t="shared" si="4"/>
        <v>0</v>
      </c>
      <c r="BG8" s="27">
        <f t="shared" si="5"/>
        <v>24</v>
      </c>
      <c r="BH8" s="15">
        <f t="shared" ref="BH8:BH36" ca="1" si="7">SevenDayRest(BH8)</f>
        <v>168</v>
      </c>
      <c r="BI8" s="60"/>
    </row>
    <row r="9" spans="2:61" s="3" customFormat="1" ht="13.5" customHeight="1">
      <c r="B9" s="16">
        <v>3</v>
      </c>
      <c r="C9" s="29" t="str">
        <f t="shared" si="0"/>
        <v>Tue</v>
      </c>
      <c r="D9" s="86"/>
      <c r="E9" s="53"/>
      <c r="F9" s="55"/>
      <c r="G9" s="53"/>
      <c r="H9" s="55"/>
      <c r="I9" s="53"/>
      <c r="J9" s="55"/>
      <c r="K9" s="53"/>
      <c r="L9" s="55"/>
      <c r="M9" s="53"/>
      <c r="N9" s="55"/>
      <c r="O9" s="53"/>
      <c r="P9" s="55"/>
      <c r="Q9" s="53"/>
      <c r="R9" s="55"/>
      <c r="S9" s="53"/>
      <c r="T9" s="55"/>
      <c r="U9" s="53"/>
      <c r="V9" s="55"/>
      <c r="W9" s="53"/>
      <c r="X9" s="55"/>
      <c r="Y9" s="53"/>
      <c r="Z9" s="55"/>
      <c r="AA9" s="53"/>
      <c r="AB9" s="55"/>
      <c r="AC9" s="53"/>
      <c r="AD9" s="55"/>
      <c r="AE9" s="53"/>
      <c r="AF9" s="55"/>
      <c r="AG9" s="53"/>
      <c r="AH9" s="55"/>
      <c r="AI9" s="53"/>
      <c r="AJ9" s="55"/>
      <c r="AK9" s="53"/>
      <c r="AL9" s="55"/>
      <c r="AM9" s="53"/>
      <c r="AN9" s="55"/>
      <c r="AO9" s="53"/>
      <c r="AP9" s="55"/>
      <c r="AQ9" s="53"/>
      <c r="AR9" s="55"/>
      <c r="AS9" s="53"/>
      <c r="AT9" s="55"/>
      <c r="AU9" s="53"/>
      <c r="AV9" s="55"/>
      <c r="AW9" s="53"/>
      <c r="AX9" s="55"/>
      <c r="AY9" s="53"/>
      <c r="AZ9" s="55"/>
      <c r="BA9" s="88"/>
      <c r="BB9" s="26">
        <f t="shared" si="1"/>
        <v>0</v>
      </c>
      <c r="BC9" s="26">
        <f t="shared" si="6"/>
        <v>0</v>
      </c>
      <c r="BD9" s="26">
        <f t="shared" si="2"/>
        <v>0</v>
      </c>
      <c r="BE9" s="26">
        <f t="shared" si="3"/>
        <v>0</v>
      </c>
      <c r="BF9" s="26">
        <f t="shared" si="4"/>
        <v>0</v>
      </c>
      <c r="BG9" s="26">
        <f t="shared" si="5"/>
        <v>24</v>
      </c>
      <c r="BH9" s="13">
        <f t="shared" ca="1" si="7"/>
        <v>168</v>
      </c>
      <c r="BI9" s="59"/>
    </row>
    <row r="10" spans="2:61" s="3" customFormat="1" ht="13.5" customHeight="1">
      <c r="B10" s="14">
        <v>4</v>
      </c>
      <c r="C10" s="49" t="str">
        <f t="shared" si="0"/>
        <v>Wed</v>
      </c>
      <c r="D10" s="86"/>
      <c r="E10" s="52"/>
      <c r="F10" s="54"/>
      <c r="G10" s="52"/>
      <c r="H10" s="54"/>
      <c r="I10" s="52"/>
      <c r="J10" s="54"/>
      <c r="K10" s="52"/>
      <c r="L10" s="54"/>
      <c r="M10" s="52"/>
      <c r="N10" s="54"/>
      <c r="O10" s="52"/>
      <c r="P10" s="54"/>
      <c r="Q10" s="52"/>
      <c r="R10" s="54"/>
      <c r="S10" s="52"/>
      <c r="T10" s="54"/>
      <c r="U10" s="52"/>
      <c r="V10" s="54"/>
      <c r="W10" s="52"/>
      <c r="X10" s="54"/>
      <c r="Y10" s="52"/>
      <c r="Z10" s="54"/>
      <c r="AA10" s="52"/>
      <c r="AB10" s="54"/>
      <c r="AC10" s="52"/>
      <c r="AD10" s="54"/>
      <c r="AE10" s="52"/>
      <c r="AF10" s="54"/>
      <c r="AG10" s="52"/>
      <c r="AH10" s="54"/>
      <c r="AI10" s="52"/>
      <c r="AJ10" s="54"/>
      <c r="AK10" s="52"/>
      <c r="AL10" s="54"/>
      <c r="AM10" s="52"/>
      <c r="AN10" s="54"/>
      <c r="AO10" s="52"/>
      <c r="AP10" s="54"/>
      <c r="AQ10" s="52"/>
      <c r="AR10" s="54"/>
      <c r="AS10" s="52"/>
      <c r="AT10" s="54"/>
      <c r="AU10" s="52"/>
      <c r="AV10" s="54"/>
      <c r="AW10" s="52"/>
      <c r="AX10" s="54"/>
      <c r="AY10" s="52"/>
      <c r="AZ10" s="54"/>
      <c r="BA10" s="88"/>
      <c r="BB10" s="27">
        <f t="shared" si="1"/>
        <v>0</v>
      </c>
      <c r="BC10" s="75">
        <f t="shared" si="6"/>
        <v>0</v>
      </c>
      <c r="BD10" s="27">
        <f t="shared" si="2"/>
        <v>0</v>
      </c>
      <c r="BE10" s="27">
        <f t="shared" si="3"/>
        <v>0</v>
      </c>
      <c r="BF10" s="27">
        <f t="shared" si="4"/>
        <v>0</v>
      </c>
      <c r="BG10" s="27">
        <f t="shared" si="5"/>
        <v>24</v>
      </c>
      <c r="BH10" s="15">
        <f t="shared" ca="1" si="7"/>
        <v>168</v>
      </c>
      <c r="BI10" s="60"/>
    </row>
    <row r="11" spans="2:61" s="3" customFormat="1" ht="13.5" customHeight="1">
      <c r="B11" s="16">
        <v>5</v>
      </c>
      <c r="C11" s="29" t="str">
        <f t="shared" si="0"/>
        <v>Thu</v>
      </c>
      <c r="D11" s="86"/>
      <c r="E11" s="53"/>
      <c r="F11" s="55"/>
      <c r="G11" s="53"/>
      <c r="H11" s="55"/>
      <c r="I11" s="53"/>
      <c r="J11" s="55"/>
      <c r="K11" s="53"/>
      <c r="L11" s="55"/>
      <c r="M11" s="53"/>
      <c r="N11" s="55"/>
      <c r="O11" s="53"/>
      <c r="P11" s="55"/>
      <c r="Q11" s="53"/>
      <c r="R11" s="55"/>
      <c r="S11" s="53"/>
      <c r="T11" s="55"/>
      <c r="U11" s="53"/>
      <c r="V11" s="55"/>
      <c r="W11" s="53"/>
      <c r="X11" s="55"/>
      <c r="Y11" s="53"/>
      <c r="Z11" s="55"/>
      <c r="AA11" s="53"/>
      <c r="AB11" s="55"/>
      <c r="AC11" s="53"/>
      <c r="AD11" s="55"/>
      <c r="AE11" s="53"/>
      <c r="AF11" s="55"/>
      <c r="AG11" s="53"/>
      <c r="AH11" s="55"/>
      <c r="AI11" s="53"/>
      <c r="AJ11" s="55"/>
      <c r="AK11" s="53"/>
      <c r="AL11" s="55"/>
      <c r="AM11" s="53"/>
      <c r="AN11" s="55"/>
      <c r="AO11" s="53"/>
      <c r="AP11" s="55"/>
      <c r="AQ11" s="53"/>
      <c r="AR11" s="55"/>
      <c r="AS11" s="53"/>
      <c r="AT11" s="55"/>
      <c r="AU11" s="53"/>
      <c r="AV11" s="55"/>
      <c r="AW11" s="53"/>
      <c r="AX11" s="55"/>
      <c r="AY11" s="53"/>
      <c r="AZ11" s="55"/>
      <c r="BA11" s="88"/>
      <c r="BB11" s="26">
        <f t="shared" si="1"/>
        <v>0</v>
      </c>
      <c r="BC11" s="26">
        <f t="shared" si="6"/>
        <v>0</v>
      </c>
      <c r="BD11" s="26">
        <f t="shared" si="2"/>
        <v>0</v>
      </c>
      <c r="BE11" s="26">
        <f t="shared" si="3"/>
        <v>0</v>
      </c>
      <c r="BF11" s="26">
        <f t="shared" si="4"/>
        <v>0</v>
      </c>
      <c r="BG11" s="26">
        <f t="shared" si="5"/>
        <v>24</v>
      </c>
      <c r="BH11" s="13">
        <f t="shared" ca="1" si="7"/>
        <v>168</v>
      </c>
      <c r="BI11" s="59"/>
    </row>
    <row r="12" spans="2:61" s="3" customFormat="1" ht="13.5" customHeight="1">
      <c r="B12" s="14">
        <v>6</v>
      </c>
      <c r="C12" s="49" t="str">
        <f t="shared" si="0"/>
        <v>Fri</v>
      </c>
      <c r="D12" s="86"/>
      <c r="E12" s="52"/>
      <c r="F12" s="54"/>
      <c r="G12" s="52"/>
      <c r="H12" s="54"/>
      <c r="I12" s="52"/>
      <c r="J12" s="54"/>
      <c r="K12" s="52"/>
      <c r="L12" s="54"/>
      <c r="M12" s="52"/>
      <c r="N12" s="54"/>
      <c r="O12" s="52"/>
      <c r="P12" s="54"/>
      <c r="Q12" s="52"/>
      <c r="R12" s="54"/>
      <c r="S12" s="52"/>
      <c r="T12" s="54"/>
      <c r="U12" s="52"/>
      <c r="V12" s="54"/>
      <c r="W12" s="52"/>
      <c r="X12" s="54"/>
      <c r="Y12" s="52"/>
      <c r="Z12" s="54"/>
      <c r="AA12" s="52"/>
      <c r="AB12" s="54"/>
      <c r="AC12" s="52"/>
      <c r="AD12" s="54"/>
      <c r="AE12" s="52"/>
      <c r="AF12" s="54"/>
      <c r="AG12" s="52"/>
      <c r="AH12" s="54"/>
      <c r="AI12" s="52"/>
      <c r="AJ12" s="54"/>
      <c r="AK12" s="52"/>
      <c r="AL12" s="54"/>
      <c r="AM12" s="52"/>
      <c r="AN12" s="54"/>
      <c r="AO12" s="52"/>
      <c r="AP12" s="54"/>
      <c r="AQ12" s="52"/>
      <c r="AR12" s="54"/>
      <c r="AS12" s="52"/>
      <c r="AT12" s="54"/>
      <c r="AU12" s="52"/>
      <c r="AV12" s="54"/>
      <c r="AW12" s="52"/>
      <c r="AX12" s="54"/>
      <c r="AY12" s="52"/>
      <c r="AZ12" s="54"/>
      <c r="BA12" s="88"/>
      <c r="BB12" s="27">
        <f t="shared" si="1"/>
        <v>0</v>
      </c>
      <c r="BC12" s="75">
        <f t="shared" si="6"/>
        <v>0</v>
      </c>
      <c r="BD12" s="27">
        <f t="shared" si="2"/>
        <v>0</v>
      </c>
      <c r="BE12" s="27">
        <f t="shared" si="3"/>
        <v>0</v>
      </c>
      <c r="BF12" s="27">
        <f t="shared" si="4"/>
        <v>0</v>
      </c>
      <c r="BG12" s="27">
        <f t="shared" si="5"/>
        <v>24</v>
      </c>
      <c r="BH12" s="15">
        <f t="shared" ca="1" si="7"/>
        <v>168</v>
      </c>
      <c r="BI12" s="60"/>
    </row>
    <row r="13" spans="2:61" s="3" customFormat="1" ht="13.5" customHeight="1">
      <c r="B13" s="16">
        <v>7</v>
      </c>
      <c r="C13" s="29" t="str">
        <f t="shared" si="0"/>
        <v>Sat</v>
      </c>
      <c r="D13" s="86"/>
      <c r="E13" s="53"/>
      <c r="F13" s="55"/>
      <c r="G13" s="53"/>
      <c r="H13" s="55"/>
      <c r="I13" s="53"/>
      <c r="J13" s="55"/>
      <c r="K13" s="53"/>
      <c r="L13" s="55"/>
      <c r="M13" s="53"/>
      <c r="N13" s="55"/>
      <c r="O13" s="53"/>
      <c r="P13" s="55"/>
      <c r="Q13" s="53"/>
      <c r="R13" s="55"/>
      <c r="S13" s="53"/>
      <c r="T13" s="55"/>
      <c r="U13" s="53"/>
      <c r="V13" s="55"/>
      <c r="W13" s="53"/>
      <c r="X13" s="55"/>
      <c r="Y13" s="53"/>
      <c r="Z13" s="55"/>
      <c r="AA13" s="53"/>
      <c r="AB13" s="55"/>
      <c r="AC13" s="53"/>
      <c r="AD13" s="55"/>
      <c r="AE13" s="53"/>
      <c r="AF13" s="55"/>
      <c r="AG13" s="53"/>
      <c r="AH13" s="55"/>
      <c r="AI13" s="53"/>
      <c r="AJ13" s="55"/>
      <c r="AK13" s="53"/>
      <c r="AL13" s="55"/>
      <c r="AM13" s="53"/>
      <c r="AN13" s="55"/>
      <c r="AO13" s="53"/>
      <c r="AP13" s="55"/>
      <c r="AQ13" s="53"/>
      <c r="AR13" s="55"/>
      <c r="AS13" s="53"/>
      <c r="AT13" s="55"/>
      <c r="AU13" s="53"/>
      <c r="AV13" s="55"/>
      <c r="AW13" s="53"/>
      <c r="AX13" s="55"/>
      <c r="AY13" s="53"/>
      <c r="AZ13" s="55"/>
      <c r="BA13" s="88"/>
      <c r="BB13" s="26">
        <f t="shared" si="1"/>
        <v>0</v>
      </c>
      <c r="BC13" s="26">
        <f t="shared" si="6"/>
        <v>0</v>
      </c>
      <c r="BD13" s="26">
        <f t="shared" si="2"/>
        <v>0</v>
      </c>
      <c r="BE13" s="26">
        <f t="shared" si="3"/>
        <v>0</v>
      </c>
      <c r="BF13" s="26">
        <f t="shared" si="4"/>
        <v>0</v>
      </c>
      <c r="BG13" s="26">
        <f t="shared" si="5"/>
        <v>24</v>
      </c>
      <c r="BH13" s="13">
        <f t="shared" ca="1" si="7"/>
        <v>168</v>
      </c>
      <c r="BI13" s="59"/>
    </row>
    <row r="14" spans="2:61" s="3" customFormat="1" ht="13.5" customHeight="1">
      <c r="B14" s="14">
        <v>8</v>
      </c>
      <c r="C14" s="49" t="str">
        <f t="shared" si="0"/>
        <v>Sun</v>
      </c>
      <c r="D14" s="86"/>
      <c r="E14" s="52"/>
      <c r="F14" s="54"/>
      <c r="G14" s="52"/>
      <c r="H14" s="54"/>
      <c r="I14" s="52"/>
      <c r="J14" s="54"/>
      <c r="K14" s="52"/>
      <c r="L14" s="54"/>
      <c r="M14" s="52"/>
      <c r="N14" s="54"/>
      <c r="O14" s="52"/>
      <c r="P14" s="54"/>
      <c r="Q14" s="52"/>
      <c r="R14" s="54"/>
      <c r="S14" s="52"/>
      <c r="T14" s="54"/>
      <c r="U14" s="52"/>
      <c r="V14" s="54"/>
      <c r="W14" s="52"/>
      <c r="X14" s="54"/>
      <c r="Y14" s="52"/>
      <c r="Z14" s="54"/>
      <c r="AA14" s="52"/>
      <c r="AB14" s="54"/>
      <c r="AC14" s="52"/>
      <c r="AD14" s="54"/>
      <c r="AE14" s="52"/>
      <c r="AF14" s="54"/>
      <c r="AG14" s="52"/>
      <c r="AH14" s="54"/>
      <c r="AI14" s="52"/>
      <c r="AJ14" s="54"/>
      <c r="AK14" s="52"/>
      <c r="AL14" s="54"/>
      <c r="AM14" s="52"/>
      <c r="AN14" s="54"/>
      <c r="AO14" s="52"/>
      <c r="AP14" s="54"/>
      <c r="AQ14" s="52"/>
      <c r="AR14" s="54"/>
      <c r="AS14" s="52"/>
      <c r="AT14" s="54"/>
      <c r="AU14" s="52"/>
      <c r="AV14" s="54"/>
      <c r="AW14" s="52"/>
      <c r="AX14" s="54"/>
      <c r="AY14" s="52"/>
      <c r="AZ14" s="54"/>
      <c r="BA14" s="88"/>
      <c r="BB14" s="27">
        <f t="shared" si="1"/>
        <v>0</v>
      </c>
      <c r="BC14" s="75">
        <f t="shared" si="6"/>
        <v>0</v>
      </c>
      <c r="BD14" s="27">
        <f t="shared" si="2"/>
        <v>0</v>
      </c>
      <c r="BE14" s="27">
        <f t="shared" si="3"/>
        <v>0</v>
      </c>
      <c r="BF14" s="27">
        <f t="shared" si="4"/>
        <v>0</v>
      </c>
      <c r="BG14" s="27">
        <f t="shared" si="5"/>
        <v>24</v>
      </c>
      <c r="BH14" s="15">
        <f t="shared" ca="1" si="7"/>
        <v>168</v>
      </c>
      <c r="BI14" s="60"/>
    </row>
    <row r="15" spans="2:61" s="3" customFormat="1" ht="13.5" customHeight="1">
      <c r="B15" s="16">
        <v>9</v>
      </c>
      <c r="C15" s="29" t="str">
        <f t="shared" si="0"/>
        <v>Mon</v>
      </c>
      <c r="D15" s="86"/>
      <c r="E15" s="53"/>
      <c r="F15" s="55"/>
      <c r="G15" s="53"/>
      <c r="H15" s="55"/>
      <c r="I15" s="53"/>
      <c r="J15" s="55"/>
      <c r="K15" s="53"/>
      <c r="L15" s="55"/>
      <c r="M15" s="53"/>
      <c r="N15" s="55"/>
      <c r="O15" s="53"/>
      <c r="P15" s="55"/>
      <c r="Q15" s="53"/>
      <c r="R15" s="55"/>
      <c r="S15" s="53"/>
      <c r="T15" s="55"/>
      <c r="U15" s="53"/>
      <c r="V15" s="55"/>
      <c r="W15" s="53"/>
      <c r="X15" s="55"/>
      <c r="Y15" s="53"/>
      <c r="Z15" s="55"/>
      <c r="AA15" s="53"/>
      <c r="AB15" s="55"/>
      <c r="AC15" s="53"/>
      <c r="AD15" s="55"/>
      <c r="AE15" s="53"/>
      <c r="AF15" s="55"/>
      <c r="AG15" s="53"/>
      <c r="AH15" s="55"/>
      <c r="AI15" s="53"/>
      <c r="AJ15" s="55"/>
      <c r="AK15" s="53"/>
      <c r="AL15" s="55"/>
      <c r="AM15" s="53"/>
      <c r="AN15" s="55"/>
      <c r="AO15" s="53"/>
      <c r="AP15" s="55"/>
      <c r="AQ15" s="53"/>
      <c r="AR15" s="55"/>
      <c r="AS15" s="53"/>
      <c r="AT15" s="55"/>
      <c r="AU15" s="53"/>
      <c r="AV15" s="55"/>
      <c r="AW15" s="53"/>
      <c r="AX15" s="55"/>
      <c r="AY15" s="53"/>
      <c r="AZ15" s="55"/>
      <c r="BA15" s="88"/>
      <c r="BB15" s="26">
        <f t="shared" si="1"/>
        <v>0</v>
      </c>
      <c r="BC15" s="26">
        <f t="shared" si="6"/>
        <v>0</v>
      </c>
      <c r="BD15" s="26">
        <f t="shared" si="2"/>
        <v>0</v>
      </c>
      <c r="BE15" s="26">
        <f t="shared" si="3"/>
        <v>0</v>
      </c>
      <c r="BF15" s="26">
        <f t="shared" si="4"/>
        <v>0</v>
      </c>
      <c r="BG15" s="26">
        <f t="shared" si="5"/>
        <v>24</v>
      </c>
      <c r="BH15" s="13">
        <f t="shared" ca="1" si="7"/>
        <v>168</v>
      </c>
      <c r="BI15" s="59"/>
    </row>
    <row r="16" spans="2:61" s="3" customFormat="1" ht="13.5" customHeight="1">
      <c r="B16" s="14">
        <v>10</v>
      </c>
      <c r="C16" s="49" t="str">
        <f t="shared" si="0"/>
        <v>Tue</v>
      </c>
      <c r="D16" s="86"/>
      <c r="E16" s="52"/>
      <c r="F16" s="54"/>
      <c r="G16" s="52"/>
      <c r="H16" s="54"/>
      <c r="I16" s="52"/>
      <c r="J16" s="54"/>
      <c r="K16" s="52"/>
      <c r="L16" s="54"/>
      <c r="M16" s="52"/>
      <c r="N16" s="54"/>
      <c r="O16" s="52"/>
      <c r="P16" s="54"/>
      <c r="Q16" s="52"/>
      <c r="R16" s="54"/>
      <c r="S16" s="52"/>
      <c r="T16" s="54"/>
      <c r="U16" s="52"/>
      <c r="V16" s="54"/>
      <c r="W16" s="52"/>
      <c r="X16" s="54"/>
      <c r="Y16" s="52"/>
      <c r="Z16" s="54"/>
      <c r="AA16" s="52"/>
      <c r="AB16" s="54"/>
      <c r="AC16" s="52"/>
      <c r="AD16" s="54"/>
      <c r="AE16" s="52"/>
      <c r="AF16" s="54"/>
      <c r="AG16" s="52"/>
      <c r="AH16" s="54"/>
      <c r="AI16" s="52"/>
      <c r="AJ16" s="54"/>
      <c r="AK16" s="52"/>
      <c r="AL16" s="54"/>
      <c r="AM16" s="52"/>
      <c r="AN16" s="54"/>
      <c r="AO16" s="52"/>
      <c r="AP16" s="54"/>
      <c r="AQ16" s="52"/>
      <c r="AR16" s="54"/>
      <c r="AS16" s="52"/>
      <c r="AT16" s="54"/>
      <c r="AU16" s="52"/>
      <c r="AV16" s="54"/>
      <c r="AW16" s="52"/>
      <c r="AX16" s="54"/>
      <c r="AY16" s="52"/>
      <c r="AZ16" s="54"/>
      <c r="BA16" s="88"/>
      <c r="BB16" s="27">
        <f t="shared" si="1"/>
        <v>0</v>
      </c>
      <c r="BC16" s="75">
        <f t="shared" si="6"/>
        <v>0</v>
      </c>
      <c r="BD16" s="27">
        <f t="shared" si="2"/>
        <v>0</v>
      </c>
      <c r="BE16" s="27">
        <f t="shared" si="3"/>
        <v>0</v>
      </c>
      <c r="BF16" s="27">
        <f t="shared" si="4"/>
        <v>0</v>
      </c>
      <c r="BG16" s="27">
        <f t="shared" si="5"/>
        <v>24</v>
      </c>
      <c r="BH16" s="15">
        <f t="shared" ca="1" si="7"/>
        <v>168</v>
      </c>
      <c r="BI16" s="60"/>
    </row>
    <row r="17" spans="2:61" s="3" customFormat="1" ht="13.5" customHeight="1">
      <c r="B17" s="16">
        <v>11</v>
      </c>
      <c r="C17" s="29" t="str">
        <f t="shared" si="0"/>
        <v>Wed</v>
      </c>
      <c r="D17" s="86"/>
      <c r="E17" s="53"/>
      <c r="F17" s="55"/>
      <c r="G17" s="53"/>
      <c r="H17" s="55"/>
      <c r="I17" s="53"/>
      <c r="J17" s="55"/>
      <c r="K17" s="53"/>
      <c r="L17" s="55"/>
      <c r="M17" s="53"/>
      <c r="N17" s="55"/>
      <c r="O17" s="53"/>
      <c r="P17" s="55"/>
      <c r="Q17" s="53"/>
      <c r="R17" s="55"/>
      <c r="S17" s="53"/>
      <c r="T17" s="55"/>
      <c r="U17" s="53"/>
      <c r="V17" s="55"/>
      <c r="W17" s="53"/>
      <c r="X17" s="55"/>
      <c r="Y17" s="53"/>
      <c r="Z17" s="55"/>
      <c r="AA17" s="53"/>
      <c r="AB17" s="55"/>
      <c r="AC17" s="53"/>
      <c r="AD17" s="55"/>
      <c r="AE17" s="53"/>
      <c r="AF17" s="55"/>
      <c r="AG17" s="53"/>
      <c r="AH17" s="55"/>
      <c r="AI17" s="53"/>
      <c r="AJ17" s="55"/>
      <c r="AK17" s="53"/>
      <c r="AL17" s="55"/>
      <c r="AM17" s="53"/>
      <c r="AN17" s="55"/>
      <c r="AO17" s="53"/>
      <c r="AP17" s="55"/>
      <c r="AQ17" s="53"/>
      <c r="AR17" s="55"/>
      <c r="AS17" s="53"/>
      <c r="AT17" s="55"/>
      <c r="AU17" s="53"/>
      <c r="AV17" s="55"/>
      <c r="AW17" s="53"/>
      <c r="AX17" s="55"/>
      <c r="AY17" s="53"/>
      <c r="AZ17" s="55"/>
      <c r="BA17" s="88"/>
      <c r="BB17" s="26">
        <f t="shared" si="1"/>
        <v>0</v>
      </c>
      <c r="BC17" s="26">
        <f t="shared" si="6"/>
        <v>0</v>
      </c>
      <c r="BD17" s="26">
        <f t="shared" si="2"/>
        <v>0</v>
      </c>
      <c r="BE17" s="26">
        <f t="shared" si="3"/>
        <v>0</v>
      </c>
      <c r="BF17" s="26">
        <f t="shared" si="4"/>
        <v>0</v>
      </c>
      <c r="BG17" s="26">
        <f t="shared" si="5"/>
        <v>24</v>
      </c>
      <c r="BH17" s="13">
        <f t="shared" ca="1" si="7"/>
        <v>168</v>
      </c>
      <c r="BI17" s="59"/>
    </row>
    <row r="18" spans="2:61" s="3" customFormat="1" ht="13.5" customHeight="1">
      <c r="B18" s="14">
        <v>12</v>
      </c>
      <c r="C18" s="49" t="str">
        <f t="shared" si="0"/>
        <v>Thu</v>
      </c>
      <c r="D18" s="86"/>
      <c r="E18" s="52"/>
      <c r="F18" s="54"/>
      <c r="G18" s="52"/>
      <c r="H18" s="54"/>
      <c r="I18" s="52"/>
      <c r="J18" s="54"/>
      <c r="K18" s="52"/>
      <c r="L18" s="54"/>
      <c r="M18" s="52"/>
      <c r="N18" s="54"/>
      <c r="O18" s="52"/>
      <c r="P18" s="54"/>
      <c r="Q18" s="52"/>
      <c r="R18" s="54"/>
      <c r="S18" s="52"/>
      <c r="T18" s="54"/>
      <c r="U18" s="52"/>
      <c r="V18" s="54"/>
      <c r="W18" s="52"/>
      <c r="X18" s="54"/>
      <c r="Y18" s="52"/>
      <c r="Z18" s="54"/>
      <c r="AA18" s="52"/>
      <c r="AB18" s="54"/>
      <c r="AC18" s="52"/>
      <c r="AD18" s="54"/>
      <c r="AE18" s="52"/>
      <c r="AF18" s="54"/>
      <c r="AG18" s="52"/>
      <c r="AH18" s="54"/>
      <c r="AI18" s="52"/>
      <c r="AJ18" s="54"/>
      <c r="AK18" s="52"/>
      <c r="AL18" s="54"/>
      <c r="AM18" s="52"/>
      <c r="AN18" s="54"/>
      <c r="AO18" s="52"/>
      <c r="AP18" s="54"/>
      <c r="AQ18" s="52"/>
      <c r="AR18" s="54"/>
      <c r="AS18" s="52"/>
      <c r="AT18" s="54"/>
      <c r="AU18" s="52"/>
      <c r="AV18" s="54"/>
      <c r="AW18" s="52"/>
      <c r="AX18" s="54"/>
      <c r="AY18" s="52"/>
      <c r="AZ18" s="54"/>
      <c r="BA18" s="88"/>
      <c r="BB18" s="27">
        <f t="shared" si="1"/>
        <v>0</v>
      </c>
      <c r="BC18" s="75">
        <f t="shared" si="6"/>
        <v>0</v>
      </c>
      <c r="BD18" s="27">
        <f t="shared" si="2"/>
        <v>0</v>
      </c>
      <c r="BE18" s="27">
        <f t="shared" si="3"/>
        <v>0</v>
      </c>
      <c r="BF18" s="27">
        <f t="shared" si="4"/>
        <v>0</v>
      </c>
      <c r="BG18" s="27">
        <f t="shared" si="5"/>
        <v>24</v>
      </c>
      <c r="BH18" s="15">
        <f t="shared" ca="1" si="7"/>
        <v>168</v>
      </c>
      <c r="BI18" s="60"/>
    </row>
    <row r="19" spans="2:61" s="3" customFormat="1" ht="13.5" customHeight="1">
      <c r="B19" s="16">
        <v>13</v>
      </c>
      <c r="C19" s="29" t="str">
        <f t="shared" si="0"/>
        <v>Fri</v>
      </c>
      <c r="D19" s="86"/>
      <c r="E19" s="53"/>
      <c r="F19" s="55"/>
      <c r="G19" s="53"/>
      <c r="H19" s="55"/>
      <c r="I19" s="53"/>
      <c r="J19" s="55"/>
      <c r="K19" s="53"/>
      <c r="L19" s="55"/>
      <c r="M19" s="53"/>
      <c r="N19" s="55"/>
      <c r="O19" s="53"/>
      <c r="P19" s="55"/>
      <c r="Q19" s="53"/>
      <c r="R19" s="55"/>
      <c r="S19" s="53"/>
      <c r="T19" s="55"/>
      <c r="U19" s="53"/>
      <c r="V19" s="55"/>
      <c r="W19" s="53"/>
      <c r="X19" s="55"/>
      <c r="Y19" s="53"/>
      <c r="Z19" s="55"/>
      <c r="AA19" s="53"/>
      <c r="AB19" s="55"/>
      <c r="AC19" s="53"/>
      <c r="AD19" s="55"/>
      <c r="AE19" s="53"/>
      <c r="AF19" s="55"/>
      <c r="AG19" s="53"/>
      <c r="AH19" s="55"/>
      <c r="AI19" s="53"/>
      <c r="AJ19" s="55"/>
      <c r="AK19" s="53"/>
      <c r="AL19" s="55"/>
      <c r="AM19" s="53"/>
      <c r="AN19" s="55"/>
      <c r="AO19" s="53"/>
      <c r="AP19" s="55"/>
      <c r="AQ19" s="53"/>
      <c r="AR19" s="55"/>
      <c r="AS19" s="53"/>
      <c r="AT19" s="55"/>
      <c r="AU19" s="53"/>
      <c r="AV19" s="55"/>
      <c r="AW19" s="53"/>
      <c r="AX19" s="55"/>
      <c r="AY19" s="53"/>
      <c r="AZ19" s="55"/>
      <c r="BA19" s="88"/>
      <c r="BB19" s="26">
        <f t="shared" si="1"/>
        <v>0</v>
      </c>
      <c r="BC19" s="26">
        <f t="shared" si="6"/>
        <v>0</v>
      </c>
      <c r="BD19" s="26">
        <f t="shared" si="2"/>
        <v>0</v>
      </c>
      <c r="BE19" s="26">
        <f t="shared" si="3"/>
        <v>0</v>
      </c>
      <c r="BF19" s="26">
        <f t="shared" si="4"/>
        <v>0</v>
      </c>
      <c r="BG19" s="26">
        <f t="shared" si="5"/>
        <v>24</v>
      </c>
      <c r="BH19" s="13">
        <f t="shared" ca="1" si="7"/>
        <v>168</v>
      </c>
      <c r="BI19" s="59"/>
    </row>
    <row r="20" spans="2:61" s="3" customFormat="1" ht="13.5" customHeight="1">
      <c r="B20" s="14">
        <v>14</v>
      </c>
      <c r="C20" s="49" t="str">
        <f t="shared" si="0"/>
        <v>Sat</v>
      </c>
      <c r="D20" s="86"/>
      <c r="E20" s="52"/>
      <c r="F20" s="54"/>
      <c r="G20" s="52"/>
      <c r="H20" s="54"/>
      <c r="I20" s="52"/>
      <c r="J20" s="54"/>
      <c r="K20" s="52"/>
      <c r="L20" s="54"/>
      <c r="M20" s="52"/>
      <c r="N20" s="54"/>
      <c r="O20" s="52"/>
      <c r="P20" s="54"/>
      <c r="Q20" s="52"/>
      <c r="R20" s="54"/>
      <c r="S20" s="52"/>
      <c r="T20" s="54"/>
      <c r="U20" s="52"/>
      <c r="V20" s="54"/>
      <c r="W20" s="52"/>
      <c r="X20" s="54"/>
      <c r="Y20" s="52"/>
      <c r="Z20" s="54"/>
      <c r="AA20" s="52"/>
      <c r="AB20" s="54"/>
      <c r="AC20" s="52"/>
      <c r="AD20" s="54"/>
      <c r="AE20" s="52"/>
      <c r="AF20" s="54"/>
      <c r="AG20" s="52"/>
      <c r="AH20" s="54"/>
      <c r="AI20" s="52"/>
      <c r="AJ20" s="54"/>
      <c r="AK20" s="52"/>
      <c r="AL20" s="54"/>
      <c r="AM20" s="52"/>
      <c r="AN20" s="54"/>
      <c r="AO20" s="52"/>
      <c r="AP20" s="54"/>
      <c r="AQ20" s="52"/>
      <c r="AR20" s="54"/>
      <c r="AS20" s="52"/>
      <c r="AT20" s="54"/>
      <c r="AU20" s="52"/>
      <c r="AV20" s="54"/>
      <c r="AW20" s="52"/>
      <c r="AX20" s="54"/>
      <c r="AY20" s="52"/>
      <c r="AZ20" s="54"/>
      <c r="BA20" s="88"/>
      <c r="BB20" s="27">
        <f t="shared" si="1"/>
        <v>0</v>
      </c>
      <c r="BC20" s="75">
        <f t="shared" si="6"/>
        <v>0</v>
      </c>
      <c r="BD20" s="27">
        <f t="shared" si="2"/>
        <v>0</v>
      </c>
      <c r="BE20" s="27">
        <f t="shared" si="3"/>
        <v>0</v>
      </c>
      <c r="BF20" s="27">
        <f t="shared" si="4"/>
        <v>0</v>
      </c>
      <c r="BG20" s="27">
        <f t="shared" si="5"/>
        <v>24</v>
      </c>
      <c r="BH20" s="15">
        <f t="shared" ca="1" si="7"/>
        <v>168</v>
      </c>
      <c r="BI20" s="60"/>
    </row>
    <row r="21" spans="2:61" s="3" customFormat="1" ht="13.5" customHeight="1">
      <c r="B21" s="16">
        <v>15</v>
      </c>
      <c r="C21" s="29" t="str">
        <f t="shared" si="0"/>
        <v>Sun</v>
      </c>
      <c r="D21" s="86"/>
      <c r="E21" s="53"/>
      <c r="F21" s="55"/>
      <c r="G21" s="53"/>
      <c r="H21" s="55"/>
      <c r="I21" s="53"/>
      <c r="J21" s="55"/>
      <c r="K21" s="53"/>
      <c r="L21" s="55"/>
      <c r="M21" s="53"/>
      <c r="N21" s="55"/>
      <c r="O21" s="53"/>
      <c r="P21" s="55"/>
      <c r="Q21" s="53"/>
      <c r="R21" s="55"/>
      <c r="S21" s="53"/>
      <c r="T21" s="55"/>
      <c r="U21" s="53"/>
      <c r="V21" s="55"/>
      <c r="W21" s="53"/>
      <c r="X21" s="55"/>
      <c r="Y21" s="53"/>
      <c r="Z21" s="55"/>
      <c r="AA21" s="53"/>
      <c r="AB21" s="55"/>
      <c r="AC21" s="53"/>
      <c r="AD21" s="55"/>
      <c r="AE21" s="53"/>
      <c r="AF21" s="55"/>
      <c r="AG21" s="53"/>
      <c r="AH21" s="55"/>
      <c r="AI21" s="53"/>
      <c r="AJ21" s="55"/>
      <c r="AK21" s="53"/>
      <c r="AL21" s="55"/>
      <c r="AM21" s="53"/>
      <c r="AN21" s="55"/>
      <c r="AO21" s="53"/>
      <c r="AP21" s="55"/>
      <c r="AQ21" s="53"/>
      <c r="AR21" s="55"/>
      <c r="AS21" s="53"/>
      <c r="AT21" s="55"/>
      <c r="AU21" s="53"/>
      <c r="AV21" s="55"/>
      <c r="AW21" s="53"/>
      <c r="AX21" s="55"/>
      <c r="AY21" s="53"/>
      <c r="AZ21" s="55"/>
      <c r="BA21" s="88"/>
      <c r="BB21" s="26">
        <f t="shared" si="1"/>
        <v>0</v>
      </c>
      <c r="BC21" s="26">
        <f t="shared" si="6"/>
        <v>0</v>
      </c>
      <c r="BD21" s="26">
        <f t="shared" si="2"/>
        <v>0</v>
      </c>
      <c r="BE21" s="26">
        <f t="shared" si="3"/>
        <v>0</v>
      </c>
      <c r="BF21" s="26">
        <f t="shared" si="4"/>
        <v>0</v>
      </c>
      <c r="BG21" s="26">
        <f t="shared" si="5"/>
        <v>24</v>
      </c>
      <c r="BH21" s="13">
        <f t="shared" ca="1" si="7"/>
        <v>168</v>
      </c>
      <c r="BI21" s="59"/>
    </row>
    <row r="22" spans="2:61" s="3" customFormat="1" ht="13.5" customHeight="1">
      <c r="B22" s="14">
        <v>16</v>
      </c>
      <c r="C22" s="49" t="str">
        <f t="shared" si="0"/>
        <v>Mon</v>
      </c>
      <c r="D22" s="86"/>
      <c r="E22" s="52"/>
      <c r="F22" s="54"/>
      <c r="G22" s="52"/>
      <c r="H22" s="54"/>
      <c r="I22" s="52"/>
      <c r="J22" s="54"/>
      <c r="K22" s="52"/>
      <c r="L22" s="54"/>
      <c r="M22" s="52"/>
      <c r="N22" s="54"/>
      <c r="O22" s="52"/>
      <c r="P22" s="54"/>
      <c r="Q22" s="52"/>
      <c r="R22" s="54"/>
      <c r="S22" s="52"/>
      <c r="T22" s="54"/>
      <c r="U22" s="52"/>
      <c r="V22" s="54"/>
      <c r="W22" s="52"/>
      <c r="X22" s="54"/>
      <c r="Y22" s="52"/>
      <c r="Z22" s="54"/>
      <c r="AA22" s="52"/>
      <c r="AB22" s="54"/>
      <c r="AC22" s="52"/>
      <c r="AD22" s="54"/>
      <c r="AE22" s="52"/>
      <c r="AF22" s="54"/>
      <c r="AG22" s="52"/>
      <c r="AH22" s="54"/>
      <c r="AI22" s="52"/>
      <c r="AJ22" s="54"/>
      <c r="AK22" s="52"/>
      <c r="AL22" s="54"/>
      <c r="AM22" s="52"/>
      <c r="AN22" s="54"/>
      <c r="AO22" s="52"/>
      <c r="AP22" s="54"/>
      <c r="AQ22" s="52"/>
      <c r="AR22" s="54"/>
      <c r="AS22" s="52"/>
      <c r="AT22" s="54"/>
      <c r="AU22" s="52"/>
      <c r="AV22" s="54"/>
      <c r="AW22" s="52"/>
      <c r="AX22" s="54"/>
      <c r="AY22" s="52"/>
      <c r="AZ22" s="54"/>
      <c r="BA22" s="88"/>
      <c r="BB22" s="27">
        <f t="shared" si="1"/>
        <v>0</v>
      </c>
      <c r="BC22" s="75">
        <f t="shared" si="6"/>
        <v>0</v>
      </c>
      <c r="BD22" s="27">
        <f t="shared" si="2"/>
        <v>0</v>
      </c>
      <c r="BE22" s="27">
        <f t="shared" si="3"/>
        <v>0</v>
      </c>
      <c r="BF22" s="27">
        <f t="shared" si="4"/>
        <v>0</v>
      </c>
      <c r="BG22" s="27">
        <f t="shared" si="5"/>
        <v>24</v>
      </c>
      <c r="BH22" s="15">
        <f t="shared" ca="1" si="7"/>
        <v>168</v>
      </c>
      <c r="BI22" s="60"/>
    </row>
    <row r="23" spans="2:61" s="3" customFormat="1" ht="13.5" customHeight="1">
      <c r="B23" s="16">
        <v>17</v>
      </c>
      <c r="C23" s="29" t="str">
        <f t="shared" si="0"/>
        <v>Tue</v>
      </c>
      <c r="D23" s="86"/>
      <c r="E23" s="53"/>
      <c r="F23" s="55"/>
      <c r="G23" s="53"/>
      <c r="H23" s="55"/>
      <c r="I23" s="53"/>
      <c r="J23" s="55"/>
      <c r="K23" s="53"/>
      <c r="L23" s="55"/>
      <c r="M23" s="53"/>
      <c r="N23" s="55"/>
      <c r="O23" s="53"/>
      <c r="P23" s="55"/>
      <c r="Q23" s="53"/>
      <c r="R23" s="55"/>
      <c r="S23" s="53"/>
      <c r="T23" s="55"/>
      <c r="U23" s="53"/>
      <c r="V23" s="55"/>
      <c r="W23" s="53"/>
      <c r="X23" s="55"/>
      <c r="Y23" s="53"/>
      <c r="Z23" s="55"/>
      <c r="AA23" s="53"/>
      <c r="AB23" s="55"/>
      <c r="AC23" s="53"/>
      <c r="AD23" s="55"/>
      <c r="AE23" s="53"/>
      <c r="AF23" s="55"/>
      <c r="AG23" s="53"/>
      <c r="AH23" s="55"/>
      <c r="AI23" s="53"/>
      <c r="AJ23" s="55"/>
      <c r="AK23" s="53"/>
      <c r="AL23" s="55"/>
      <c r="AM23" s="53"/>
      <c r="AN23" s="55"/>
      <c r="AO23" s="53"/>
      <c r="AP23" s="55"/>
      <c r="AQ23" s="53"/>
      <c r="AR23" s="55"/>
      <c r="AS23" s="53"/>
      <c r="AT23" s="55"/>
      <c r="AU23" s="53"/>
      <c r="AV23" s="55"/>
      <c r="AW23" s="53"/>
      <c r="AX23" s="55"/>
      <c r="AY23" s="53"/>
      <c r="AZ23" s="55"/>
      <c r="BA23" s="88"/>
      <c r="BB23" s="26">
        <f t="shared" si="1"/>
        <v>0</v>
      </c>
      <c r="BC23" s="26">
        <f t="shared" si="6"/>
        <v>0</v>
      </c>
      <c r="BD23" s="26">
        <f t="shared" si="2"/>
        <v>0</v>
      </c>
      <c r="BE23" s="26">
        <f t="shared" si="3"/>
        <v>0</v>
      </c>
      <c r="BF23" s="26">
        <f t="shared" si="4"/>
        <v>0</v>
      </c>
      <c r="BG23" s="26">
        <f t="shared" si="5"/>
        <v>24</v>
      </c>
      <c r="BH23" s="13">
        <f t="shared" ca="1" si="7"/>
        <v>168</v>
      </c>
      <c r="BI23" s="59"/>
    </row>
    <row r="24" spans="2:61" s="3" customFormat="1" ht="13.5" customHeight="1">
      <c r="B24" s="14">
        <v>18</v>
      </c>
      <c r="C24" s="49" t="str">
        <f t="shared" si="0"/>
        <v>Wed</v>
      </c>
      <c r="D24" s="86"/>
      <c r="E24" s="52"/>
      <c r="F24" s="54"/>
      <c r="G24" s="52"/>
      <c r="H24" s="54"/>
      <c r="I24" s="52"/>
      <c r="J24" s="54"/>
      <c r="K24" s="52"/>
      <c r="L24" s="54"/>
      <c r="M24" s="52"/>
      <c r="N24" s="54"/>
      <c r="O24" s="52"/>
      <c r="P24" s="54"/>
      <c r="Q24" s="52"/>
      <c r="R24" s="54"/>
      <c r="S24" s="52"/>
      <c r="T24" s="54"/>
      <c r="U24" s="52"/>
      <c r="V24" s="54"/>
      <c r="W24" s="52"/>
      <c r="X24" s="54"/>
      <c r="Y24" s="52"/>
      <c r="Z24" s="54"/>
      <c r="AA24" s="52"/>
      <c r="AB24" s="54"/>
      <c r="AC24" s="52"/>
      <c r="AD24" s="54"/>
      <c r="AE24" s="52"/>
      <c r="AF24" s="54"/>
      <c r="AG24" s="52"/>
      <c r="AH24" s="54"/>
      <c r="AI24" s="52"/>
      <c r="AJ24" s="54"/>
      <c r="AK24" s="52"/>
      <c r="AL24" s="54"/>
      <c r="AM24" s="52"/>
      <c r="AN24" s="54"/>
      <c r="AO24" s="52"/>
      <c r="AP24" s="54"/>
      <c r="AQ24" s="52"/>
      <c r="AR24" s="54"/>
      <c r="AS24" s="52"/>
      <c r="AT24" s="54"/>
      <c r="AU24" s="52"/>
      <c r="AV24" s="54"/>
      <c r="AW24" s="52"/>
      <c r="AX24" s="54"/>
      <c r="AY24" s="52"/>
      <c r="AZ24" s="54"/>
      <c r="BA24" s="88"/>
      <c r="BB24" s="27">
        <f t="shared" si="1"/>
        <v>0</v>
      </c>
      <c r="BC24" s="75">
        <f t="shared" si="6"/>
        <v>0</v>
      </c>
      <c r="BD24" s="27">
        <f t="shared" si="2"/>
        <v>0</v>
      </c>
      <c r="BE24" s="27">
        <f t="shared" si="3"/>
        <v>0</v>
      </c>
      <c r="BF24" s="27">
        <f t="shared" si="4"/>
        <v>0</v>
      </c>
      <c r="BG24" s="27">
        <f t="shared" si="5"/>
        <v>24</v>
      </c>
      <c r="BH24" s="15">
        <f t="shared" ca="1" si="7"/>
        <v>168</v>
      </c>
      <c r="BI24" s="60"/>
    </row>
    <row r="25" spans="2:61" s="3" customFormat="1" ht="13.5" customHeight="1">
      <c r="B25" s="16">
        <v>19</v>
      </c>
      <c r="C25" s="29" t="str">
        <f t="shared" si="0"/>
        <v>Thu</v>
      </c>
      <c r="D25" s="86"/>
      <c r="E25" s="53"/>
      <c r="F25" s="55"/>
      <c r="G25" s="53"/>
      <c r="H25" s="55"/>
      <c r="I25" s="53"/>
      <c r="J25" s="55"/>
      <c r="K25" s="53"/>
      <c r="L25" s="55"/>
      <c r="M25" s="53"/>
      <c r="N25" s="55"/>
      <c r="O25" s="53"/>
      <c r="P25" s="55"/>
      <c r="Q25" s="53"/>
      <c r="R25" s="55"/>
      <c r="S25" s="53"/>
      <c r="T25" s="55"/>
      <c r="U25" s="53"/>
      <c r="V25" s="55"/>
      <c r="W25" s="53"/>
      <c r="X25" s="55"/>
      <c r="Y25" s="53"/>
      <c r="Z25" s="55"/>
      <c r="AA25" s="53"/>
      <c r="AB25" s="55"/>
      <c r="AC25" s="53"/>
      <c r="AD25" s="55"/>
      <c r="AE25" s="53"/>
      <c r="AF25" s="55"/>
      <c r="AG25" s="53"/>
      <c r="AH25" s="55"/>
      <c r="AI25" s="53"/>
      <c r="AJ25" s="55"/>
      <c r="AK25" s="53"/>
      <c r="AL25" s="55"/>
      <c r="AM25" s="53"/>
      <c r="AN25" s="55"/>
      <c r="AO25" s="53"/>
      <c r="AP25" s="55"/>
      <c r="AQ25" s="53"/>
      <c r="AR25" s="55"/>
      <c r="AS25" s="53"/>
      <c r="AT25" s="55"/>
      <c r="AU25" s="53"/>
      <c r="AV25" s="55"/>
      <c r="AW25" s="53"/>
      <c r="AX25" s="55"/>
      <c r="AY25" s="53"/>
      <c r="AZ25" s="55"/>
      <c r="BA25" s="88"/>
      <c r="BB25" s="26">
        <f t="shared" si="1"/>
        <v>0</v>
      </c>
      <c r="BC25" s="26">
        <f t="shared" si="6"/>
        <v>0</v>
      </c>
      <c r="BD25" s="26">
        <f t="shared" si="2"/>
        <v>0</v>
      </c>
      <c r="BE25" s="26">
        <f t="shared" si="3"/>
        <v>0</v>
      </c>
      <c r="BF25" s="26">
        <f t="shared" si="4"/>
        <v>0</v>
      </c>
      <c r="BG25" s="26">
        <f t="shared" si="5"/>
        <v>24</v>
      </c>
      <c r="BH25" s="13">
        <f t="shared" ca="1" si="7"/>
        <v>168</v>
      </c>
      <c r="BI25" s="59"/>
    </row>
    <row r="26" spans="2:61" s="3" customFormat="1" ht="13.5" customHeight="1">
      <c r="B26" s="14">
        <v>20</v>
      </c>
      <c r="C26" s="49" t="str">
        <f t="shared" si="0"/>
        <v>Fri</v>
      </c>
      <c r="D26" s="86"/>
      <c r="E26" s="52"/>
      <c r="F26" s="54"/>
      <c r="G26" s="52"/>
      <c r="H26" s="54"/>
      <c r="I26" s="52"/>
      <c r="J26" s="54"/>
      <c r="K26" s="52"/>
      <c r="L26" s="54"/>
      <c r="M26" s="52"/>
      <c r="N26" s="54"/>
      <c r="O26" s="52"/>
      <c r="P26" s="54"/>
      <c r="Q26" s="52"/>
      <c r="R26" s="54"/>
      <c r="S26" s="52"/>
      <c r="T26" s="54"/>
      <c r="U26" s="52"/>
      <c r="V26" s="54"/>
      <c r="W26" s="52"/>
      <c r="X26" s="54"/>
      <c r="Y26" s="52"/>
      <c r="Z26" s="54"/>
      <c r="AA26" s="52"/>
      <c r="AB26" s="54"/>
      <c r="AC26" s="52"/>
      <c r="AD26" s="54"/>
      <c r="AE26" s="52"/>
      <c r="AF26" s="54"/>
      <c r="AG26" s="52"/>
      <c r="AH26" s="54"/>
      <c r="AI26" s="52"/>
      <c r="AJ26" s="54"/>
      <c r="AK26" s="52"/>
      <c r="AL26" s="54"/>
      <c r="AM26" s="52"/>
      <c r="AN26" s="54"/>
      <c r="AO26" s="52"/>
      <c r="AP26" s="54"/>
      <c r="AQ26" s="52"/>
      <c r="AR26" s="54"/>
      <c r="AS26" s="52"/>
      <c r="AT26" s="54"/>
      <c r="AU26" s="52"/>
      <c r="AV26" s="54"/>
      <c r="AW26" s="52"/>
      <c r="AX26" s="54"/>
      <c r="AY26" s="52"/>
      <c r="AZ26" s="54"/>
      <c r="BA26" s="88"/>
      <c r="BB26" s="27">
        <f t="shared" si="1"/>
        <v>0</v>
      </c>
      <c r="BC26" s="75">
        <f t="shared" si="6"/>
        <v>0</v>
      </c>
      <c r="BD26" s="27">
        <f t="shared" si="2"/>
        <v>0</v>
      </c>
      <c r="BE26" s="27">
        <f t="shared" si="3"/>
        <v>0</v>
      </c>
      <c r="BF26" s="27">
        <f t="shared" si="4"/>
        <v>0</v>
      </c>
      <c r="BG26" s="27">
        <f t="shared" si="5"/>
        <v>24</v>
      </c>
      <c r="BH26" s="15">
        <f t="shared" ca="1" si="7"/>
        <v>168</v>
      </c>
      <c r="BI26" s="60"/>
    </row>
    <row r="27" spans="2:61" s="3" customFormat="1" ht="13.5" customHeight="1">
      <c r="B27" s="16">
        <v>21</v>
      </c>
      <c r="C27" s="29" t="str">
        <f t="shared" si="0"/>
        <v>Sat</v>
      </c>
      <c r="D27" s="86"/>
      <c r="E27" s="53"/>
      <c r="F27" s="55"/>
      <c r="G27" s="53"/>
      <c r="H27" s="55"/>
      <c r="I27" s="53"/>
      <c r="J27" s="55"/>
      <c r="K27" s="53"/>
      <c r="L27" s="55"/>
      <c r="M27" s="53"/>
      <c r="N27" s="55"/>
      <c r="O27" s="53"/>
      <c r="P27" s="55"/>
      <c r="Q27" s="53"/>
      <c r="R27" s="55"/>
      <c r="S27" s="53"/>
      <c r="T27" s="55"/>
      <c r="U27" s="53"/>
      <c r="V27" s="55"/>
      <c r="W27" s="53"/>
      <c r="X27" s="55"/>
      <c r="Y27" s="53"/>
      <c r="Z27" s="55"/>
      <c r="AA27" s="53"/>
      <c r="AB27" s="55"/>
      <c r="AC27" s="53"/>
      <c r="AD27" s="55"/>
      <c r="AE27" s="53"/>
      <c r="AF27" s="55"/>
      <c r="AG27" s="53"/>
      <c r="AH27" s="55"/>
      <c r="AI27" s="53"/>
      <c r="AJ27" s="55"/>
      <c r="AK27" s="53"/>
      <c r="AL27" s="55"/>
      <c r="AM27" s="53"/>
      <c r="AN27" s="55"/>
      <c r="AO27" s="53"/>
      <c r="AP27" s="55"/>
      <c r="AQ27" s="53"/>
      <c r="AR27" s="55"/>
      <c r="AS27" s="53"/>
      <c r="AT27" s="55"/>
      <c r="AU27" s="53"/>
      <c r="AV27" s="55"/>
      <c r="AW27" s="53"/>
      <c r="AX27" s="55"/>
      <c r="AY27" s="53"/>
      <c r="AZ27" s="55"/>
      <c r="BA27" s="88"/>
      <c r="BB27" s="26">
        <f t="shared" si="1"/>
        <v>0</v>
      </c>
      <c r="BC27" s="26">
        <f t="shared" si="6"/>
        <v>0</v>
      </c>
      <c r="BD27" s="26">
        <f t="shared" si="2"/>
        <v>0</v>
      </c>
      <c r="BE27" s="26">
        <f t="shared" si="3"/>
        <v>0</v>
      </c>
      <c r="BF27" s="26">
        <f t="shared" si="4"/>
        <v>0</v>
      </c>
      <c r="BG27" s="26">
        <f t="shared" si="5"/>
        <v>24</v>
      </c>
      <c r="BH27" s="13">
        <f t="shared" ca="1" si="7"/>
        <v>168</v>
      </c>
      <c r="BI27" s="59"/>
    </row>
    <row r="28" spans="2:61" s="3" customFormat="1" ht="13.5" customHeight="1">
      <c r="B28" s="14">
        <v>22</v>
      </c>
      <c r="C28" s="49" t="str">
        <f t="shared" si="0"/>
        <v>Sun</v>
      </c>
      <c r="D28" s="86"/>
      <c r="E28" s="52"/>
      <c r="F28" s="54"/>
      <c r="G28" s="52"/>
      <c r="H28" s="54"/>
      <c r="I28" s="52"/>
      <c r="J28" s="54"/>
      <c r="K28" s="52"/>
      <c r="L28" s="54"/>
      <c r="M28" s="52"/>
      <c r="N28" s="54"/>
      <c r="O28" s="52"/>
      <c r="P28" s="54"/>
      <c r="Q28" s="52"/>
      <c r="R28" s="54"/>
      <c r="S28" s="52"/>
      <c r="T28" s="54"/>
      <c r="U28" s="52"/>
      <c r="V28" s="54"/>
      <c r="W28" s="52"/>
      <c r="X28" s="54"/>
      <c r="Y28" s="52"/>
      <c r="Z28" s="54"/>
      <c r="AA28" s="52"/>
      <c r="AB28" s="54"/>
      <c r="AC28" s="52"/>
      <c r="AD28" s="54"/>
      <c r="AE28" s="52"/>
      <c r="AF28" s="54"/>
      <c r="AG28" s="52"/>
      <c r="AH28" s="54"/>
      <c r="AI28" s="52"/>
      <c r="AJ28" s="54"/>
      <c r="AK28" s="52"/>
      <c r="AL28" s="54"/>
      <c r="AM28" s="52"/>
      <c r="AN28" s="54"/>
      <c r="AO28" s="52"/>
      <c r="AP28" s="54"/>
      <c r="AQ28" s="52"/>
      <c r="AR28" s="54"/>
      <c r="AS28" s="52"/>
      <c r="AT28" s="54"/>
      <c r="AU28" s="52"/>
      <c r="AV28" s="54"/>
      <c r="AW28" s="52"/>
      <c r="AX28" s="54"/>
      <c r="AY28" s="52"/>
      <c r="AZ28" s="54"/>
      <c r="BA28" s="88"/>
      <c r="BB28" s="27">
        <f t="shared" si="1"/>
        <v>0</v>
      </c>
      <c r="BC28" s="75">
        <f t="shared" si="6"/>
        <v>0</v>
      </c>
      <c r="BD28" s="27">
        <f t="shared" si="2"/>
        <v>0</v>
      </c>
      <c r="BE28" s="27">
        <f t="shared" si="3"/>
        <v>0</v>
      </c>
      <c r="BF28" s="27">
        <f t="shared" si="4"/>
        <v>0</v>
      </c>
      <c r="BG28" s="27">
        <f t="shared" si="5"/>
        <v>24</v>
      </c>
      <c r="BH28" s="15">
        <f t="shared" ca="1" si="7"/>
        <v>168</v>
      </c>
      <c r="BI28" s="60"/>
    </row>
    <row r="29" spans="2:61" s="3" customFormat="1" ht="13.5" customHeight="1">
      <c r="B29" s="16">
        <v>23</v>
      </c>
      <c r="C29" s="29" t="str">
        <f t="shared" si="0"/>
        <v>Mon</v>
      </c>
      <c r="D29" s="86"/>
      <c r="E29" s="53"/>
      <c r="F29" s="55"/>
      <c r="G29" s="53"/>
      <c r="H29" s="55"/>
      <c r="I29" s="53"/>
      <c r="J29" s="55"/>
      <c r="K29" s="53"/>
      <c r="L29" s="55"/>
      <c r="M29" s="53"/>
      <c r="N29" s="55"/>
      <c r="O29" s="53"/>
      <c r="P29" s="55"/>
      <c r="Q29" s="53"/>
      <c r="R29" s="55"/>
      <c r="S29" s="53"/>
      <c r="T29" s="55"/>
      <c r="U29" s="53"/>
      <c r="V29" s="55"/>
      <c r="W29" s="53"/>
      <c r="X29" s="55"/>
      <c r="Y29" s="53"/>
      <c r="Z29" s="55"/>
      <c r="AA29" s="53"/>
      <c r="AB29" s="55"/>
      <c r="AC29" s="53"/>
      <c r="AD29" s="55"/>
      <c r="AE29" s="53"/>
      <c r="AF29" s="55"/>
      <c r="AG29" s="53"/>
      <c r="AH29" s="55"/>
      <c r="AI29" s="53"/>
      <c r="AJ29" s="55"/>
      <c r="AK29" s="53"/>
      <c r="AL29" s="55"/>
      <c r="AM29" s="53"/>
      <c r="AN29" s="55"/>
      <c r="AO29" s="53"/>
      <c r="AP29" s="55"/>
      <c r="AQ29" s="53"/>
      <c r="AR29" s="55"/>
      <c r="AS29" s="53"/>
      <c r="AT29" s="55"/>
      <c r="AU29" s="53"/>
      <c r="AV29" s="55"/>
      <c r="AW29" s="53"/>
      <c r="AX29" s="55"/>
      <c r="AY29" s="53"/>
      <c r="AZ29" s="55"/>
      <c r="BA29" s="88"/>
      <c r="BB29" s="26">
        <f t="shared" si="1"/>
        <v>0</v>
      </c>
      <c r="BC29" s="26">
        <f t="shared" si="6"/>
        <v>0</v>
      </c>
      <c r="BD29" s="26">
        <f t="shared" si="2"/>
        <v>0</v>
      </c>
      <c r="BE29" s="26">
        <f t="shared" si="3"/>
        <v>0</v>
      </c>
      <c r="BF29" s="26">
        <f t="shared" si="4"/>
        <v>0</v>
      </c>
      <c r="BG29" s="26">
        <f t="shared" si="5"/>
        <v>24</v>
      </c>
      <c r="BH29" s="13">
        <f t="shared" ca="1" si="7"/>
        <v>168</v>
      </c>
      <c r="BI29" s="59"/>
    </row>
    <row r="30" spans="2:61" s="3" customFormat="1" ht="13.5" customHeight="1">
      <c r="B30" s="14">
        <v>24</v>
      </c>
      <c r="C30" s="49" t="str">
        <f t="shared" si="0"/>
        <v>Tue</v>
      </c>
      <c r="D30" s="86"/>
      <c r="E30" s="52"/>
      <c r="F30" s="54"/>
      <c r="G30" s="52"/>
      <c r="H30" s="54"/>
      <c r="I30" s="52"/>
      <c r="J30" s="54"/>
      <c r="K30" s="52"/>
      <c r="L30" s="54"/>
      <c r="M30" s="52"/>
      <c r="N30" s="54"/>
      <c r="O30" s="52"/>
      <c r="P30" s="54"/>
      <c r="Q30" s="52"/>
      <c r="R30" s="54"/>
      <c r="S30" s="52"/>
      <c r="T30" s="54"/>
      <c r="U30" s="52"/>
      <c r="V30" s="54"/>
      <c r="W30" s="52"/>
      <c r="X30" s="54"/>
      <c r="Y30" s="52"/>
      <c r="Z30" s="54"/>
      <c r="AA30" s="52"/>
      <c r="AB30" s="54"/>
      <c r="AC30" s="52"/>
      <c r="AD30" s="54"/>
      <c r="AE30" s="52"/>
      <c r="AF30" s="54"/>
      <c r="AG30" s="52"/>
      <c r="AH30" s="54"/>
      <c r="AI30" s="52"/>
      <c r="AJ30" s="54"/>
      <c r="AK30" s="52"/>
      <c r="AL30" s="54"/>
      <c r="AM30" s="52"/>
      <c r="AN30" s="54"/>
      <c r="AO30" s="52"/>
      <c r="AP30" s="54"/>
      <c r="AQ30" s="52"/>
      <c r="AR30" s="54"/>
      <c r="AS30" s="52"/>
      <c r="AT30" s="54"/>
      <c r="AU30" s="52"/>
      <c r="AV30" s="54"/>
      <c r="AW30" s="52"/>
      <c r="AX30" s="54"/>
      <c r="AY30" s="52"/>
      <c r="AZ30" s="54"/>
      <c r="BA30" s="88"/>
      <c r="BB30" s="27">
        <f t="shared" si="1"/>
        <v>0</v>
      </c>
      <c r="BC30" s="75">
        <f t="shared" si="6"/>
        <v>0</v>
      </c>
      <c r="BD30" s="27">
        <f t="shared" si="2"/>
        <v>0</v>
      </c>
      <c r="BE30" s="27">
        <f t="shared" si="3"/>
        <v>0</v>
      </c>
      <c r="BF30" s="27">
        <f t="shared" si="4"/>
        <v>0</v>
      </c>
      <c r="BG30" s="27">
        <f t="shared" si="5"/>
        <v>24</v>
      </c>
      <c r="BH30" s="15">
        <f t="shared" ca="1" si="7"/>
        <v>168</v>
      </c>
      <c r="BI30" s="60"/>
    </row>
    <row r="31" spans="2:61" s="3" customFormat="1" ht="13.5" customHeight="1">
      <c r="B31" s="16">
        <v>25</v>
      </c>
      <c r="C31" s="29" t="str">
        <f t="shared" si="0"/>
        <v>Wed</v>
      </c>
      <c r="D31" s="86"/>
      <c r="E31" s="53"/>
      <c r="F31" s="55"/>
      <c r="G31" s="53"/>
      <c r="H31" s="55"/>
      <c r="I31" s="53"/>
      <c r="J31" s="55"/>
      <c r="K31" s="53"/>
      <c r="L31" s="55"/>
      <c r="M31" s="53"/>
      <c r="N31" s="55"/>
      <c r="O31" s="53"/>
      <c r="P31" s="55"/>
      <c r="Q31" s="53"/>
      <c r="R31" s="55"/>
      <c r="S31" s="53"/>
      <c r="T31" s="55"/>
      <c r="U31" s="53"/>
      <c r="V31" s="55"/>
      <c r="W31" s="53"/>
      <c r="X31" s="55"/>
      <c r="Y31" s="53"/>
      <c r="Z31" s="55"/>
      <c r="AA31" s="53"/>
      <c r="AB31" s="55"/>
      <c r="AC31" s="53"/>
      <c r="AD31" s="55"/>
      <c r="AE31" s="53"/>
      <c r="AF31" s="55"/>
      <c r="AG31" s="53"/>
      <c r="AH31" s="55"/>
      <c r="AI31" s="53"/>
      <c r="AJ31" s="55"/>
      <c r="AK31" s="53"/>
      <c r="AL31" s="55"/>
      <c r="AM31" s="53"/>
      <c r="AN31" s="55"/>
      <c r="AO31" s="53"/>
      <c r="AP31" s="55"/>
      <c r="AQ31" s="53"/>
      <c r="AR31" s="55"/>
      <c r="AS31" s="53"/>
      <c r="AT31" s="55"/>
      <c r="AU31" s="53"/>
      <c r="AV31" s="55"/>
      <c r="AW31" s="53"/>
      <c r="AX31" s="55"/>
      <c r="AY31" s="53"/>
      <c r="AZ31" s="55"/>
      <c r="BA31" s="88"/>
      <c r="BB31" s="26">
        <f t="shared" si="1"/>
        <v>0</v>
      </c>
      <c r="BC31" s="26">
        <f t="shared" si="6"/>
        <v>0</v>
      </c>
      <c r="BD31" s="26">
        <f t="shared" si="2"/>
        <v>0</v>
      </c>
      <c r="BE31" s="26">
        <f t="shared" si="3"/>
        <v>0</v>
      </c>
      <c r="BF31" s="26">
        <f t="shared" si="4"/>
        <v>0</v>
      </c>
      <c r="BG31" s="26">
        <f t="shared" si="5"/>
        <v>24</v>
      </c>
      <c r="BH31" s="13">
        <f t="shared" ca="1" si="7"/>
        <v>168</v>
      </c>
      <c r="BI31" s="59"/>
    </row>
    <row r="32" spans="2:61" s="3" customFormat="1" ht="13.5" customHeight="1">
      <c r="B32" s="14">
        <v>26</v>
      </c>
      <c r="C32" s="49" t="str">
        <f t="shared" si="0"/>
        <v>Thu</v>
      </c>
      <c r="D32" s="86"/>
      <c r="E32" s="52"/>
      <c r="F32" s="54"/>
      <c r="G32" s="52"/>
      <c r="H32" s="54"/>
      <c r="I32" s="52"/>
      <c r="J32" s="54"/>
      <c r="K32" s="52"/>
      <c r="L32" s="54"/>
      <c r="M32" s="52"/>
      <c r="N32" s="54"/>
      <c r="O32" s="52"/>
      <c r="P32" s="54"/>
      <c r="Q32" s="52"/>
      <c r="R32" s="54"/>
      <c r="S32" s="52"/>
      <c r="T32" s="54"/>
      <c r="U32" s="52"/>
      <c r="V32" s="54"/>
      <c r="W32" s="52"/>
      <c r="X32" s="54"/>
      <c r="Y32" s="52"/>
      <c r="Z32" s="54"/>
      <c r="AA32" s="52"/>
      <c r="AB32" s="54"/>
      <c r="AC32" s="52"/>
      <c r="AD32" s="54"/>
      <c r="AE32" s="52"/>
      <c r="AF32" s="54"/>
      <c r="AG32" s="52"/>
      <c r="AH32" s="54"/>
      <c r="AI32" s="52"/>
      <c r="AJ32" s="54"/>
      <c r="AK32" s="52"/>
      <c r="AL32" s="54"/>
      <c r="AM32" s="52"/>
      <c r="AN32" s="54"/>
      <c r="AO32" s="52"/>
      <c r="AP32" s="54"/>
      <c r="AQ32" s="52"/>
      <c r="AR32" s="54"/>
      <c r="AS32" s="52"/>
      <c r="AT32" s="54"/>
      <c r="AU32" s="52"/>
      <c r="AV32" s="54"/>
      <c r="AW32" s="52"/>
      <c r="AX32" s="54"/>
      <c r="AY32" s="52"/>
      <c r="AZ32" s="54"/>
      <c r="BA32" s="88"/>
      <c r="BB32" s="27">
        <f t="shared" si="1"/>
        <v>0</v>
      </c>
      <c r="BC32" s="75">
        <f t="shared" si="6"/>
        <v>0</v>
      </c>
      <c r="BD32" s="27">
        <f t="shared" si="2"/>
        <v>0</v>
      </c>
      <c r="BE32" s="27">
        <f t="shared" si="3"/>
        <v>0</v>
      </c>
      <c r="BF32" s="27">
        <f t="shared" si="4"/>
        <v>0</v>
      </c>
      <c r="BG32" s="27">
        <f t="shared" si="5"/>
        <v>24</v>
      </c>
      <c r="BH32" s="15">
        <f t="shared" ca="1" si="7"/>
        <v>168</v>
      </c>
      <c r="BI32" s="60"/>
    </row>
    <row r="33" spans="2:61" s="3" customFormat="1" ht="13.5" customHeight="1">
      <c r="B33" s="16">
        <v>27</v>
      </c>
      <c r="C33" s="29" t="str">
        <f t="shared" si="0"/>
        <v>Fri</v>
      </c>
      <c r="D33" s="86"/>
      <c r="E33" s="53"/>
      <c r="F33" s="55"/>
      <c r="G33" s="53"/>
      <c r="H33" s="55"/>
      <c r="I33" s="53"/>
      <c r="J33" s="55"/>
      <c r="K33" s="53"/>
      <c r="L33" s="55"/>
      <c r="M33" s="53"/>
      <c r="N33" s="55"/>
      <c r="O33" s="53"/>
      <c r="P33" s="55"/>
      <c r="Q33" s="53"/>
      <c r="R33" s="55"/>
      <c r="S33" s="53"/>
      <c r="T33" s="55"/>
      <c r="U33" s="53"/>
      <c r="V33" s="55"/>
      <c r="W33" s="53"/>
      <c r="X33" s="55"/>
      <c r="Y33" s="53"/>
      <c r="Z33" s="55"/>
      <c r="AA33" s="53"/>
      <c r="AB33" s="55"/>
      <c r="AC33" s="53"/>
      <c r="AD33" s="55"/>
      <c r="AE33" s="53"/>
      <c r="AF33" s="55"/>
      <c r="AG33" s="53"/>
      <c r="AH33" s="55"/>
      <c r="AI33" s="53"/>
      <c r="AJ33" s="55"/>
      <c r="AK33" s="53"/>
      <c r="AL33" s="55"/>
      <c r="AM33" s="53"/>
      <c r="AN33" s="55"/>
      <c r="AO33" s="53"/>
      <c r="AP33" s="55"/>
      <c r="AQ33" s="53"/>
      <c r="AR33" s="55"/>
      <c r="AS33" s="53"/>
      <c r="AT33" s="55"/>
      <c r="AU33" s="53"/>
      <c r="AV33" s="55"/>
      <c r="AW33" s="53"/>
      <c r="AX33" s="55"/>
      <c r="AY33" s="53"/>
      <c r="AZ33" s="55"/>
      <c r="BA33" s="88"/>
      <c r="BB33" s="26">
        <f t="shared" si="1"/>
        <v>0</v>
      </c>
      <c r="BC33" s="26">
        <f t="shared" si="6"/>
        <v>0</v>
      </c>
      <c r="BD33" s="26">
        <f t="shared" si="2"/>
        <v>0</v>
      </c>
      <c r="BE33" s="26">
        <f t="shared" si="3"/>
        <v>0</v>
      </c>
      <c r="BF33" s="26">
        <f t="shared" si="4"/>
        <v>0</v>
      </c>
      <c r="BG33" s="26">
        <f t="shared" si="5"/>
        <v>24</v>
      </c>
      <c r="BH33" s="13">
        <f t="shared" ca="1" si="7"/>
        <v>168</v>
      </c>
      <c r="BI33" s="59"/>
    </row>
    <row r="34" spans="2:61" s="3" customFormat="1" ht="13.5" customHeight="1">
      <c r="B34" s="14">
        <v>28</v>
      </c>
      <c r="C34" s="49" t="str">
        <f t="shared" si="0"/>
        <v>Sat</v>
      </c>
      <c r="D34" s="86"/>
      <c r="E34" s="52"/>
      <c r="F34" s="54"/>
      <c r="G34" s="52"/>
      <c r="H34" s="54"/>
      <c r="I34" s="52"/>
      <c r="J34" s="54"/>
      <c r="K34" s="52"/>
      <c r="L34" s="54"/>
      <c r="M34" s="52"/>
      <c r="N34" s="54"/>
      <c r="O34" s="52"/>
      <c r="P34" s="54"/>
      <c r="Q34" s="52"/>
      <c r="R34" s="54"/>
      <c r="S34" s="52"/>
      <c r="T34" s="54"/>
      <c r="U34" s="52"/>
      <c r="V34" s="54"/>
      <c r="W34" s="52"/>
      <c r="X34" s="54"/>
      <c r="Y34" s="52"/>
      <c r="Z34" s="54"/>
      <c r="AA34" s="52"/>
      <c r="AB34" s="54"/>
      <c r="AC34" s="52"/>
      <c r="AD34" s="54"/>
      <c r="AE34" s="52"/>
      <c r="AF34" s="54"/>
      <c r="AG34" s="52"/>
      <c r="AH34" s="54"/>
      <c r="AI34" s="52"/>
      <c r="AJ34" s="54"/>
      <c r="AK34" s="52"/>
      <c r="AL34" s="54"/>
      <c r="AM34" s="52"/>
      <c r="AN34" s="54"/>
      <c r="AO34" s="52"/>
      <c r="AP34" s="54"/>
      <c r="AQ34" s="52"/>
      <c r="AR34" s="54"/>
      <c r="AS34" s="52"/>
      <c r="AT34" s="54"/>
      <c r="AU34" s="52"/>
      <c r="AV34" s="54"/>
      <c r="AW34" s="52"/>
      <c r="AX34" s="54"/>
      <c r="AY34" s="52"/>
      <c r="AZ34" s="54"/>
      <c r="BA34" s="88"/>
      <c r="BB34" s="27">
        <f t="shared" si="1"/>
        <v>0</v>
      </c>
      <c r="BC34" s="75">
        <f t="shared" si="6"/>
        <v>0</v>
      </c>
      <c r="BD34" s="27">
        <f t="shared" si="2"/>
        <v>0</v>
      </c>
      <c r="BE34" s="27">
        <f t="shared" si="3"/>
        <v>0</v>
      </c>
      <c r="BF34" s="27">
        <f t="shared" si="4"/>
        <v>0</v>
      </c>
      <c r="BG34" s="27">
        <f t="shared" si="5"/>
        <v>24</v>
      </c>
      <c r="BH34" s="15">
        <f t="shared" ca="1" si="7"/>
        <v>168</v>
      </c>
      <c r="BI34" s="60"/>
    </row>
    <row r="35" spans="2:61" s="3" customFormat="1" ht="13.5" customHeight="1">
      <c r="B35" s="16">
        <v>29</v>
      </c>
      <c r="C35" s="29" t="str">
        <f t="shared" si="0"/>
        <v>Sun</v>
      </c>
      <c r="D35" s="86"/>
      <c r="E35" s="53"/>
      <c r="F35" s="55"/>
      <c r="G35" s="53"/>
      <c r="H35" s="55"/>
      <c r="I35" s="53"/>
      <c r="J35" s="55"/>
      <c r="K35" s="53"/>
      <c r="L35" s="55"/>
      <c r="M35" s="53"/>
      <c r="N35" s="55"/>
      <c r="O35" s="53"/>
      <c r="P35" s="55"/>
      <c r="Q35" s="53"/>
      <c r="R35" s="55"/>
      <c r="S35" s="53"/>
      <c r="T35" s="55"/>
      <c r="U35" s="53"/>
      <c r="V35" s="55"/>
      <c r="W35" s="53"/>
      <c r="X35" s="55"/>
      <c r="Y35" s="53"/>
      <c r="Z35" s="55"/>
      <c r="AA35" s="53"/>
      <c r="AB35" s="55"/>
      <c r="AC35" s="53"/>
      <c r="AD35" s="55"/>
      <c r="AE35" s="53"/>
      <c r="AF35" s="55"/>
      <c r="AG35" s="53"/>
      <c r="AH35" s="55"/>
      <c r="AI35" s="53"/>
      <c r="AJ35" s="55"/>
      <c r="AK35" s="53"/>
      <c r="AL35" s="55"/>
      <c r="AM35" s="53"/>
      <c r="AN35" s="55"/>
      <c r="AO35" s="53"/>
      <c r="AP35" s="55"/>
      <c r="AQ35" s="53"/>
      <c r="AR35" s="55"/>
      <c r="AS35" s="53"/>
      <c r="AT35" s="55"/>
      <c r="AU35" s="53"/>
      <c r="AV35" s="55"/>
      <c r="AW35" s="53"/>
      <c r="AX35" s="55"/>
      <c r="AY35" s="53"/>
      <c r="AZ35" s="55"/>
      <c r="BA35" s="88"/>
      <c r="BB35" s="26">
        <f t="shared" si="1"/>
        <v>0</v>
      </c>
      <c r="BC35" s="26">
        <f t="shared" si="6"/>
        <v>0</v>
      </c>
      <c r="BD35" s="26">
        <f t="shared" si="2"/>
        <v>0</v>
      </c>
      <c r="BE35" s="26">
        <f t="shared" si="3"/>
        <v>0</v>
      </c>
      <c r="BF35" s="26">
        <f t="shared" si="4"/>
        <v>0</v>
      </c>
      <c r="BG35" s="26">
        <f t="shared" si="5"/>
        <v>24</v>
      </c>
      <c r="BH35" s="13">
        <f t="shared" ca="1" si="7"/>
        <v>168</v>
      </c>
      <c r="BI35" s="59"/>
    </row>
    <row r="36" spans="2:61" s="3" customFormat="1" ht="13.5" customHeight="1">
      <c r="B36" s="14">
        <v>30</v>
      </c>
      <c r="C36" s="49" t="str">
        <f t="shared" si="0"/>
        <v>Mon</v>
      </c>
      <c r="D36" s="86"/>
      <c r="E36" s="52"/>
      <c r="F36" s="54"/>
      <c r="G36" s="52"/>
      <c r="H36" s="54"/>
      <c r="I36" s="52"/>
      <c r="J36" s="54"/>
      <c r="K36" s="52"/>
      <c r="L36" s="54"/>
      <c r="M36" s="52"/>
      <c r="N36" s="54"/>
      <c r="O36" s="52"/>
      <c r="P36" s="54"/>
      <c r="Q36" s="52"/>
      <c r="R36" s="54"/>
      <c r="S36" s="52"/>
      <c r="T36" s="54"/>
      <c r="U36" s="52"/>
      <c r="V36" s="54"/>
      <c r="W36" s="52"/>
      <c r="X36" s="54"/>
      <c r="Y36" s="52"/>
      <c r="Z36" s="54"/>
      <c r="AA36" s="52"/>
      <c r="AB36" s="54"/>
      <c r="AC36" s="52"/>
      <c r="AD36" s="54"/>
      <c r="AE36" s="52"/>
      <c r="AF36" s="54"/>
      <c r="AG36" s="52"/>
      <c r="AH36" s="54"/>
      <c r="AI36" s="52"/>
      <c r="AJ36" s="54"/>
      <c r="AK36" s="52"/>
      <c r="AL36" s="54"/>
      <c r="AM36" s="52"/>
      <c r="AN36" s="54"/>
      <c r="AO36" s="52"/>
      <c r="AP36" s="54"/>
      <c r="AQ36" s="52"/>
      <c r="AR36" s="54"/>
      <c r="AS36" s="52"/>
      <c r="AT36" s="54"/>
      <c r="AU36" s="52"/>
      <c r="AV36" s="54"/>
      <c r="AW36" s="52"/>
      <c r="AX36" s="54"/>
      <c r="AY36" s="52"/>
      <c r="AZ36" s="54"/>
      <c r="BA36" s="88"/>
      <c r="BB36" s="27">
        <f t="shared" si="1"/>
        <v>0</v>
      </c>
      <c r="BC36" s="75">
        <f t="shared" si="6"/>
        <v>0</v>
      </c>
      <c r="BD36" s="27">
        <f t="shared" si="2"/>
        <v>0</v>
      </c>
      <c r="BE36" s="27">
        <f t="shared" si="3"/>
        <v>0</v>
      </c>
      <c r="BF36" s="27">
        <f t="shared" si="4"/>
        <v>0</v>
      </c>
      <c r="BG36" s="27">
        <f t="shared" si="5"/>
        <v>24</v>
      </c>
      <c r="BH36" s="15">
        <f t="shared" ca="1" si="7"/>
        <v>168</v>
      </c>
      <c r="BI36" s="60"/>
    </row>
    <row r="37" spans="2:61" s="3" customFormat="1" ht="13.5" customHeight="1">
      <c r="B37" s="34">
        <v>31</v>
      </c>
      <c r="C37" s="29" t="str">
        <f t="shared" si="0"/>
        <v>Tue</v>
      </c>
      <c r="D37" s="87"/>
      <c r="E37" s="53"/>
      <c r="F37" s="55"/>
      <c r="G37" s="53"/>
      <c r="H37" s="55"/>
      <c r="I37" s="53"/>
      <c r="J37" s="55"/>
      <c r="K37" s="53"/>
      <c r="L37" s="55"/>
      <c r="M37" s="53"/>
      <c r="N37" s="55"/>
      <c r="O37" s="53"/>
      <c r="P37" s="55"/>
      <c r="Q37" s="53"/>
      <c r="R37" s="55"/>
      <c r="S37" s="53"/>
      <c r="T37" s="55"/>
      <c r="U37" s="53"/>
      <c r="V37" s="55"/>
      <c r="W37" s="53"/>
      <c r="X37" s="55"/>
      <c r="Y37" s="53"/>
      <c r="Z37" s="55"/>
      <c r="AA37" s="53"/>
      <c r="AB37" s="55"/>
      <c r="AC37" s="53"/>
      <c r="AD37" s="55"/>
      <c r="AE37" s="53"/>
      <c r="AF37" s="55"/>
      <c r="AG37" s="53"/>
      <c r="AH37" s="55"/>
      <c r="AI37" s="53"/>
      <c r="AJ37" s="55"/>
      <c r="AK37" s="53"/>
      <c r="AL37" s="55"/>
      <c r="AM37" s="53"/>
      <c r="AN37" s="55"/>
      <c r="AO37" s="53"/>
      <c r="AP37" s="55"/>
      <c r="AQ37" s="53"/>
      <c r="AR37" s="55"/>
      <c r="AS37" s="53"/>
      <c r="AT37" s="55"/>
      <c r="AU37" s="53"/>
      <c r="AV37" s="55"/>
      <c r="AW37" s="53"/>
      <c r="AX37" s="55"/>
      <c r="AY37" s="53"/>
      <c r="AZ37" s="55"/>
      <c r="BA37" s="89"/>
      <c r="BB37" s="28">
        <f t="shared" si="1"/>
        <v>0</v>
      </c>
      <c r="BC37" s="26">
        <f t="shared" si="6"/>
        <v>0</v>
      </c>
      <c r="BD37" s="28">
        <f t="shared" si="2"/>
        <v>0</v>
      </c>
      <c r="BE37" s="28">
        <f t="shared" si="3"/>
        <v>0</v>
      </c>
      <c r="BF37" s="28">
        <f t="shared" si="4"/>
        <v>0</v>
      </c>
      <c r="BG37" s="28">
        <f t="shared" si="5"/>
        <v>24</v>
      </c>
      <c r="BH37" s="35">
        <f ca="1">SevenDayRest(BH37)</f>
        <v>168</v>
      </c>
      <c r="BI37" s="59"/>
    </row>
    <row r="38" spans="2:61" s="3" customFormat="1" ht="0.75" customHeight="1">
      <c r="B38" s="40"/>
      <c r="C38" s="41"/>
      <c r="D38" s="42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7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2"/>
      <c r="BB38" s="44"/>
      <c r="BC38" s="44"/>
      <c r="BD38" s="44"/>
      <c r="BE38" s="44"/>
      <c r="BF38" s="44"/>
      <c r="BG38" s="44"/>
      <c r="BH38" s="45"/>
      <c r="BI38" s="46"/>
    </row>
    <row r="39" spans="2:61" s="19" customFormat="1" ht="13.5" hidden="1" customHeight="1">
      <c r="B39" s="97"/>
      <c r="C39" s="97"/>
      <c r="D39" s="97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4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90" t="s">
        <v>12</v>
      </c>
      <c r="AY39" s="91"/>
      <c r="AZ39" s="91"/>
      <c r="BA39" s="91"/>
      <c r="BB39" s="38">
        <f t="shared" ref="BB39:BG39" si="8">SUM(BB7:BB37)</f>
        <v>0</v>
      </c>
      <c r="BC39" s="38">
        <f>SUM(BC7:BC37)</f>
        <v>0</v>
      </c>
      <c r="BD39" s="38">
        <f t="shared" si="8"/>
        <v>0</v>
      </c>
      <c r="BE39" s="38">
        <f t="shared" si="8"/>
        <v>0</v>
      </c>
      <c r="BF39" s="38">
        <f t="shared" si="8"/>
        <v>0</v>
      </c>
      <c r="BG39" s="39">
        <f t="shared" si="8"/>
        <v>744</v>
      </c>
      <c r="BH39" s="4"/>
      <c r="BI39" s="5"/>
    </row>
    <row r="40" spans="2:61" s="19" customFormat="1">
      <c r="B40" s="30"/>
      <c r="C40" s="30"/>
      <c r="D40" s="30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7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72"/>
      <c r="BD40" s="18"/>
      <c r="BE40" s="18"/>
      <c r="BF40" s="18"/>
      <c r="BG40" s="18"/>
      <c r="BH40" s="17"/>
    </row>
    <row r="41" spans="2:61">
      <c r="B41" s="84" t="s">
        <v>16</v>
      </c>
      <c r="C41" s="84"/>
      <c r="D41" s="84"/>
      <c r="E41" s="84"/>
      <c r="F41" s="84"/>
      <c r="G41" s="84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 t="s">
        <v>1</v>
      </c>
      <c r="Y41" s="17"/>
      <c r="Z41" s="17"/>
      <c r="AA41" s="17"/>
      <c r="AB41" s="17"/>
      <c r="AC41" s="4"/>
      <c r="AD41" s="4"/>
      <c r="AE41" s="4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17"/>
      <c r="AV41" s="17"/>
      <c r="AW41" s="17"/>
      <c r="AX41" s="17"/>
      <c r="AY41" s="17"/>
      <c r="AZ41" s="31"/>
      <c r="BA41" s="17"/>
      <c r="BB41" s="48"/>
      <c r="BC41" s="48"/>
      <c r="BD41" s="19"/>
      <c r="BE41" s="19"/>
      <c r="BF41" s="19"/>
      <c r="BG41" s="19"/>
      <c r="BH41" s="19"/>
      <c r="BI41" s="71" t="s">
        <v>50</v>
      </c>
    </row>
    <row r="42" spans="2:61" s="23" customFormat="1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1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71" t="s">
        <v>31</v>
      </c>
    </row>
    <row r="43" spans="2:61" s="23" customFormat="1">
      <c r="B43" s="32" t="s">
        <v>2</v>
      </c>
      <c r="C43" s="32"/>
      <c r="D43" s="20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1"/>
      <c r="W43" s="1"/>
      <c r="X43" s="20" t="s">
        <v>0</v>
      </c>
      <c r="Y43" s="20"/>
      <c r="Z43" s="20"/>
      <c r="AA43" s="20"/>
      <c r="AB43" s="20"/>
      <c r="AC43" s="1"/>
      <c r="AD43" s="1"/>
      <c r="AE43" s="1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24"/>
      <c r="AQ43" s="24"/>
      <c r="AR43" s="24"/>
      <c r="AS43" s="24"/>
      <c r="AT43" s="24"/>
      <c r="AU43" s="22"/>
      <c r="AV43" s="22"/>
      <c r="AW43" s="22"/>
      <c r="AX43" s="22"/>
      <c r="AY43" s="22"/>
      <c r="AZ43" s="22"/>
      <c r="BA43" s="22"/>
      <c r="BB43" s="25"/>
      <c r="BC43" s="25"/>
      <c r="BD43" s="25"/>
      <c r="BE43" s="25"/>
      <c r="BF43" s="25"/>
      <c r="BG43" s="25"/>
      <c r="BH43" s="22"/>
      <c r="BI43" s="71" t="s">
        <v>32</v>
      </c>
    </row>
  </sheetData>
  <sheetProtection sheet="1" objects="1" scenarios="1" selectLockedCells="1"/>
  <mergeCells count="48">
    <mergeCell ref="X2:AA2"/>
    <mergeCell ref="B39:D39"/>
    <mergeCell ref="AS2:BA2"/>
    <mergeCell ref="C2:J2"/>
    <mergeCell ref="O2:W2"/>
    <mergeCell ref="AP2:AR2"/>
    <mergeCell ref="K2:N2"/>
    <mergeCell ref="X5:Y5"/>
    <mergeCell ref="AN5:AO5"/>
    <mergeCell ref="AP5:AQ5"/>
    <mergeCell ref="AR5:AS5"/>
    <mergeCell ref="N5:O5"/>
    <mergeCell ref="B4:BI4"/>
    <mergeCell ref="D5:E5"/>
    <mergeCell ref="Z5:AA5"/>
    <mergeCell ref="V5:W5"/>
    <mergeCell ref="B41:G41"/>
    <mergeCell ref="AZ5:BA5"/>
    <mergeCell ref="D7:D37"/>
    <mergeCell ref="BA7:BA37"/>
    <mergeCell ref="AH5:AI5"/>
    <mergeCell ref="AX39:BA39"/>
    <mergeCell ref="B5:B6"/>
    <mergeCell ref="C5:C6"/>
    <mergeCell ref="H5:I5"/>
    <mergeCell ref="J5:K5"/>
    <mergeCell ref="AT5:AU5"/>
    <mergeCell ref="AV5:AW5"/>
    <mergeCell ref="L5:M5"/>
    <mergeCell ref="AF5:AG5"/>
    <mergeCell ref="AF41:AT41"/>
    <mergeCell ref="AD5:AE5"/>
    <mergeCell ref="F5:G5"/>
    <mergeCell ref="AJ5:AK5"/>
    <mergeCell ref="AB5:AC5"/>
    <mergeCell ref="R5:S5"/>
    <mergeCell ref="T5:U5"/>
    <mergeCell ref="P5:Q5"/>
    <mergeCell ref="AB2:AO2"/>
    <mergeCell ref="BI5:BI6"/>
    <mergeCell ref="BB5:BB6"/>
    <mergeCell ref="BD5:BD6"/>
    <mergeCell ref="BE5:BE6"/>
    <mergeCell ref="BG5:BG6"/>
    <mergeCell ref="BH5:BH6"/>
    <mergeCell ref="BF5:BF6"/>
    <mergeCell ref="AX5:AY5"/>
    <mergeCell ref="AL5:AM5"/>
  </mergeCells>
  <dataValidations count="4">
    <dataValidation type="list" allowBlank="1" showDropDown="1" showErrorMessage="1" errorTitle="Invalid Input" error="Work periods must be marked as:_x000a_  O - For Operational Duties_x000a_  W - For Watchkeeping Duties_x000a_  E - Emergency Duties" sqref="E38:AZ38">
      <formula1>"W,O,E,C,w,o,e,c"</formula1>
    </dataValidation>
    <dataValidation type="list" allowBlank="1" showDropDown="1" showErrorMessage="1" errorTitle="Invalid Input" error="Work periods must be marked as:_x000a_  O - For Operational Duties_x000a_  W - For Watchkeeping Duties_x000a_  E - Emergency Duties" sqref="E7:AF7">
      <formula1>"W,O,E,w,o,e"</formula1>
    </dataValidation>
    <dataValidation type="list" allowBlank="1" showDropDown="1" showErrorMessage="1" errorTitle="Invalid Input" error="Work periods must be marked as:_x000a_  O - For Operational Duties_x000a_  W - For Watchkeeping Duties_x000a_  E - Emergency Duties" prompt="Daily rest is less than minimum (10)" sqref="AB11:AP12 E10:AP10 E8:AZ9 AG7:AZ7">
      <formula1>"W,O,E,w,o,e"</formula1>
    </dataValidation>
    <dataValidation type="list" allowBlank="1" showDropDown="1" showErrorMessage="1" errorTitle="Invalid Input" error="Work periods must be marked as:_x000a_  O - For Operational Duties_x000a_  W - For Watchkeeping Duties_x000a_  E - Emergency Duties" prompt="Weekly rest is less than minimum (77)" sqref="AB13:AZ37 E11:AA37 AQ10:AZ12">
      <formula1>"W,O,E,w,o,e"</formula1>
    </dataValidation>
  </dataValidations>
  <printOptions horizontalCentered="1" verticalCentered="1"/>
  <pageMargins left="0.39370078740157483" right="0.39370078740157483" top="1.299212598425197" bottom="0.98425196850393704" header="0.39370078740157483" footer="0.39370078740157483"/>
  <pageSetup paperSize="9" orientation="landscape" r:id="rId1"/>
  <headerFooter scaleWithDoc="0" alignWithMargins="0">
    <oddHeader xml:space="preserve">&amp;L&amp;"CG Times,Bold"&amp;12&amp;K002060        &amp;G
&amp;"-,Regular"&amp;11Carisbrooke Shipping&amp;C&amp;"-,Bold"&amp;16&amp;K002060Record of Rest and Work Hours&amp;R&amp;"-,Regular"&amp;8&amp;K002060Form Code: RWH
Issue No: 3 - 12/15
Amend No: 2 - 06/17 </oddHeader>
    <oddFooter>&amp;L&amp;"-,Italic"&amp;8&amp;K002060(Based on MLC 2006 and STCW 95)&amp;C&amp;"-,Regular"&amp;8&amp;K002060Original: SSFS File No.7
Copy: Seafarer
Copy: To ISM Department&amp;R&amp;"-,Regular"&amp;8&amp;K002060Retain: 18 months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structions">
    <pageSetUpPr fitToPage="1"/>
  </sheetPr>
  <dimension ref="B1:G41"/>
  <sheetViews>
    <sheetView showGridLines="0" showRowColHeaders="0" tabSelected="1" workbookViewId="0">
      <selection activeCell="I8" sqref="I8"/>
    </sheetView>
  </sheetViews>
  <sheetFormatPr defaultRowHeight="15" customHeight="1"/>
  <cols>
    <col min="1" max="1" width="3.33203125" style="62" customWidth="1"/>
    <col min="2" max="2" width="12.6640625" style="62" customWidth="1"/>
    <col min="3" max="3" width="45.83203125" style="62" customWidth="1"/>
    <col min="4" max="4" width="8.33203125" style="62" customWidth="1"/>
    <col min="5" max="5" width="12.5" style="62" customWidth="1"/>
    <col min="6" max="6" width="45.83203125" style="62" customWidth="1"/>
    <col min="7" max="7" width="31.1640625" style="62" customWidth="1"/>
    <col min="8" max="16384" width="9.33203125" style="62"/>
  </cols>
  <sheetData>
    <row r="1" spans="2:7" ht="15" customHeight="1">
      <c r="B1" s="61"/>
      <c r="F1" s="105" t="str">
        <f>IF(Archived, "Archived!", "")</f>
        <v/>
      </c>
    </row>
    <row r="2" spans="2:7" ht="15" customHeight="1">
      <c r="B2" s="62" t="s">
        <v>19</v>
      </c>
      <c r="C2" s="37" t="s">
        <v>52</v>
      </c>
      <c r="D2" s="37"/>
      <c r="E2" s="37"/>
      <c r="F2" s="105"/>
    </row>
    <row r="3" spans="2:7" ht="15" hidden="1" customHeight="1">
      <c r="C3" s="37"/>
      <c r="D3" s="37"/>
      <c r="E3" s="37"/>
      <c r="F3" s="105"/>
      <c r="G3" s="63" t="b">
        <v>0</v>
      </c>
    </row>
    <row r="4" spans="2:7" ht="15" customHeight="1">
      <c r="C4" s="37"/>
      <c r="D4" s="37"/>
      <c r="E4" s="37"/>
      <c r="F4" s="106"/>
      <c r="G4" s="64"/>
    </row>
    <row r="5" spans="2:7" ht="15" customHeight="1">
      <c r="B5" s="62" t="s">
        <v>17</v>
      </c>
      <c r="C5" s="36"/>
      <c r="D5" s="37"/>
      <c r="E5" s="62" t="s">
        <v>18</v>
      </c>
      <c r="F5" s="36"/>
      <c r="G5" s="64"/>
    </row>
    <row r="6" spans="2:7" ht="15" customHeight="1">
      <c r="C6" s="37"/>
      <c r="D6" s="37"/>
      <c r="E6" s="37"/>
      <c r="F6" s="37"/>
      <c r="G6" s="64"/>
    </row>
    <row r="7" spans="2:7" ht="15" customHeight="1">
      <c r="B7" s="62" t="s">
        <v>45</v>
      </c>
      <c r="C7" s="50">
        <v>42894</v>
      </c>
      <c r="D7" s="37"/>
      <c r="E7" s="37" t="s">
        <v>48</v>
      </c>
      <c r="F7" s="36"/>
    </row>
    <row r="8" spans="2:7" ht="15" customHeight="1">
      <c r="C8" s="37"/>
      <c r="D8" s="37"/>
      <c r="E8" s="37"/>
      <c r="F8" s="37"/>
    </row>
    <row r="9" spans="2:7" s="65" customFormat="1" ht="22.5" customHeight="1">
      <c r="B9" s="118" t="s">
        <v>35</v>
      </c>
      <c r="C9" s="119"/>
      <c r="D9" s="119"/>
      <c r="E9" s="119"/>
      <c r="F9" s="119"/>
      <c r="G9" s="120"/>
    </row>
    <row r="10" spans="2:7" s="66" customFormat="1">
      <c r="B10" s="124" t="s">
        <v>47</v>
      </c>
      <c r="C10" s="125"/>
      <c r="D10" s="125"/>
      <c r="E10" s="125"/>
      <c r="F10" s="125"/>
      <c r="G10" s="126"/>
    </row>
    <row r="11" spans="2:7" s="66" customFormat="1">
      <c r="B11" s="107" t="s">
        <v>46</v>
      </c>
      <c r="C11" s="113"/>
      <c r="D11" s="113"/>
      <c r="E11" s="113"/>
      <c r="F11" s="113"/>
      <c r="G11" s="114"/>
    </row>
    <row r="12" spans="2:7" s="66" customFormat="1">
      <c r="B12" s="107" t="s">
        <v>49</v>
      </c>
      <c r="C12" s="108"/>
      <c r="D12" s="108"/>
      <c r="E12" s="108"/>
      <c r="F12" s="108"/>
      <c r="G12" s="109"/>
    </row>
    <row r="13" spans="2:7" s="66" customFormat="1">
      <c r="B13" s="107" t="s">
        <v>21</v>
      </c>
      <c r="C13" s="113"/>
      <c r="D13" s="113"/>
      <c r="E13" s="113"/>
      <c r="F13" s="113"/>
      <c r="G13" s="114"/>
    </row>
    <row r="14" spans="2:7" s="66" customFormat="1" ht="22.5" customHeight="1">
      <c r="B14" s="107" t="s">
        <v>22</v>
      </c>
      <c r="C14" s="113"/>
      <c r="D14" s="113"/>
      <c r="E14" s="113"/>
      <c r="F14" s="113"/>
      <c r="G14" s="114"/>
    </row>
    <row r="15" spans="2:7">
      <c r="B15" s="121" t="s">
        <v>36</v>
      </c>
      <c r="C15" s="122"/>
      <c r="D15" s="122"/>
      <c r="E15" s="122"/>
      <c r="F15" s="122"/>
      <c r="G15" s="123"/>
    </row>
    <row r="16" spans="2:7" s="66" customFormat="1">
      <c r="B16" s="107" t="s">
        <v>20</v>
      </c>
      <c r="C16" s="113"/>
      <c r="D16" s="113"/>
      <c r="E16" s="113"/>
      <c r="F16" s="113"/>
      <c r="G16" s="114"/>
    </row>
    <row r="17" spans="2:7" s="66" customFormat="1">
      <c r="B17" s="107" t="s">
        <v>27</v>
      </c>
      <c r="C17" s="113"/>
      <c r="D17" s="113"/>
      <c r="E17" s="113"/>
      <c r="F17" s="113"/>
      <c r="G17" s="114"/>
    </row>
    <row r="18" spans="2:7" s="67" customFormat="1">
      <c r="B18" s="135" t="s">
        <v>24</v>
      </c>
      <c r="C18" s="136"/>
      <c r="D18" s="136"/>
      <c r="E18" s="136"/>
      <c r="F18" s="136"/>
      <c r="G18" s="137"/>
    </row>
    <row r="19" spans="2:7" s="66" customFormat="1" ht="22.5" customHeight="1">
      <c r="B19" s="107" t="s">
        <v>23</v>
      </c>
      <c r="C19" s="113"/>
      <c r="D19" s="113"/>
      <c r="E19" s="113"/>
      <c r="F19" s="113"/>
      <c r="G19" s="114"/>
    </row>
    <row r="20" spans="2:7">
      <c r="B20" s="132" t="s">
        <v>37</v>
      </c>
      <c r="C20" s="133"/>
      <c r="D20" s="133"/>
      <c r="E20" s="133"/>
      <c r="F20" s="133"/>
      <c r="G20" s="134"/>
    </row>
    <row r="21" spans="2:7" s="66" customFormat="1">
      <c r="B21" s="107" t="s">
        <v>25</v>
      </c>
      <c r="C21" s="113"/>
      <c r="D21" s="113"/>
      <c r="E21" s="113"/>
      <c r="F21" s="113"/>
      <c r="G21" s="114"/>
    </row>
    <row r="22" spans="2:7" s="68" customFormat="1" ht="30" customHeight="1">
      <c r="B22" s="107" t="s">
        <v>26</v>
      </c>
      <c r="C22" s="113"/>
      <c r="D22" s="113"/>
      <c r="E22" s="113"/>
      <c r="F22" s="113"/>
      <c r="G22" s="114"/>
    </row>
    <row r="23" spans="2:7" s="68" customFormat="1" ht="7.5" customHeight="1">
      <c r="B23" s="107"/>
      <c r="C23" s="108"/>
      <c r="D23" s="108"/>
      <c r="E23" s="108"/>
      <c r="F23" s="108"/>
      <c r="G23" s="109"/>
    </row>
    <row r="24" spans="2:7">
      <c r="B24" s="132" t="s">
        <v>41</v>
      </c>
      <c r="C24" s="133"/>
      <c r="D24" s="133"/>
      <c r="E24" s="133"/>
      <c r="F24" s="133"/>
      <c r="G24" s="134"/>
    </row>
    <row r="25" spans="2:7" s="66" customFormat="1" ht="30" customHeight="1">
      <c r="B25" s="107" t="s">
        <v>38</v>
      </c>
      <c r="C25" s="113"/>
      <c r="D25" s="113"/>
      <c r="E25" s="113"/>
      <c r="F25" s="113"/>
      <c r="G25" s="114"/>
    </row>
    <row r="26" spans="2:7" s="66" customFormat="1" ht="30" customHeight="1">
      <c r="B26" s="107" t="s">
        <v>39</v>
      </c>
      <c r="C26" s="113"/>
      <c r="D26" s="113"/>
      <c r="E26" s="113"/>
      <c r="F26" s="113"/>
      <c r="G26" s="114"/>
    </row>
    <row r="27" spans="2:7" s="66" customFormat="1">
      <c r="B27" s="107" t="s">
        <v>40</v>
      </c>
      <c r="C27" s="113"/>
      <c r="D27" s="113"/>
      <c r="E27" s="113"/>
      <c r="F27" s="113"/>
      <c r="G27" s="114"/>
    </row>
    <row r="28" spans="2:7" s="66" customFormat="1" ht="30" customHeight="1">
      <c r="B28" s="107" t="s">
        <v>42</v>
      </c>
      <c r="C28" s="113"/>
      <c r="D28" s="113"/>
      <c r="E28" s="113"/>
      <c r="F28" s="113"/>
      <c r="G28" s="114"/>
    </row>
    <row r="29" spans="2:7" s="66" customFormat="1" ht="7.5" customHeight="1">
      <c r="B29" s="107"/>
      <c r="C29" s="108"/>
      <c r="D29" s="108"/>
      <c r="E29" s="108"/>
      <c r="F29" s="108"/>
      <c r="G29" s="109"/>
    </row>
    <row r="30" spans="2:7">
      <c r="B30" s="121" t="s">
        <v>28</v>
      </c>
      <c r="C30" s="127"/>
      <c r="D30" s="127"/>
      <c r="E30" s="127"/>
      <c r="F30" s="127"/>
      <c r="G30" s="128"/>
    </row>
    <row r="31" spans="2:7" s="66" customFormat="1">
      <c r="B31" s="107" t="s">
        <v>29</v>
      </c>
      <c r="C31" s="113"/>
      <c r="D31" s="113"/>
      <c r="E31" s="113"/>
      <c r="F31" s="113"/>
      <c r="G31" s="114"/>
    </row>
    <row r="32" spans="2:7" s="67" customFormat="1">
      <c r="B32" s="115" t="s">
        <v>30</v>
      </c>
      <c r="C32" s="116"/>
      <c r="D32" s="116"/>
      <c r="E32" s="116"/>
      <c r="F32" s="116"/>
      <c r="G32" s="117"/>
    </row>
    <row r="33" spans="2:7" s="67" customFormat="1">
      <c r="B33" s="115" t="s">
        <v>31</v>
      </c>
      <c r="C33" s="116"/>
      <c r="D33" s="116"/>
      <c r="E33" s="116"/>
      <c r="F33" s="116"/>
      <c r="G33" s="117"/>
    </row>
    <row r="34" spans="2:7" s="67" customFormat="1">
      <c r="B34" s="115" t="s">
        <v>32</v>
      </c>
      <c r="C34" s="116"/>
      <c r="D34" s="116"/>
      <c r="E34" s="116"/>
      <c r="F34" s="116"/>
      <c r="G34" s="117"/>
    </row>
    <row r="35" spans="2:7" s="66" customFormat="1" ht="30" customHeight="1">
      <c r="B35" s="107" t="s">
        <v>33</v>
      </c>
      <c r="C35" s="113"/>
      <c r="D35" s="113"/>
      <c r="E35" s="113"/>
      <c r="F35" s="113"/>
      <c r="G35" s="114"/>
    </row>
    <row r="36" spans="2:7" s="66" customFormat="1" ht="15" customHeight="1">
      <c r="B36" s="110" t="s">
        <v>34</v>
      </c>
      <c r="C36" s="111"/>
      <c r="D36" s="111"/>
      <c r="E36" s="111"/>
      <c r="F36" s="111"/>
      <c r="G36" s="112"/>
    </row>
    <row r="37" spans="2:7" s="66" customFormat="1" ht="15" customHeight="1">
      <c r="B37" s="107" t="s">
        <v>43</v>
      </c>
      <c r="C37" s="108"/>
      <c r="D37" s="108"/>
      <c r="E37" s="108"/>
      <c r="F37" s="108"/>
      <c r="G37" s="109"/>
    </row>
    <row r="38" spans="2:7" s="66" customFormat="1">
      <c r="B38" s="107" t="s">
        <v>44</v>
      </c>
      <c r="C38" s="108"/>
      <c r="D38" s="108"/>
      <c r="E38" s="108"/>
      <c r="F38" s="108"/>
      <c r="G38" s="109"/>
    </row>
    <row r="39" spans="2:7" s="66" customFormat="1" ht="7.5" customHeight="1">
      <c r="B39" s="129"/>
      <c r="C39" s="130"/>
      <c r="D39" s="130"/>
      <c r="E39" s="130"/>
      <c r="F39" s="130"/>
      <c r="G39" s="131"/>
    </row>
    <row r="41" spans="2:7">
      <c r="B41" s="69"/>
    </row>
  </sheetData>
  <sheetProtection selectLockedCells="1"/>
  <mergeCells count="32">
    <mergeCell ref="B30:G30"/>
    <mergeCell ref="B12:G12"/>
    <mergeCell ref="B39:G39"/>
    <mergeCell ref="B28:G28"/>
    <mergeCell ref="B20:G20"/>
    <mergeCell ref="B24:G24"/>
    <mergeCell ref="B17:G17"/>
    <mergeCell ref="B18:G18"/>
    <mergeCell ref="B19:G19"/>
    <mergeCell ref="B22:G22"/>
    <mergeCell ref="B21:G21"/>
    <mergeCell ref="B11:G11"/>
    <mergeCell ref="B13:G13"/>
    <mergeCell ref="B14:G14"/>
    <mergeCell ref="B16:G16"/>
    <mergeCell ref="B27:G27"/>
    <mergeCell ref="F1:F4"/>
    <mergeCell ref="B38:G38"/>
    <mergeCell ref="B36:G36"/>
    <mergeCell ref="B37:G37"/>
    <mergeCell ref="B23:G23"/>
    <mergeCell ref="B29:G29"/>
    <mergeCell ref="B31:G31"/>
    <mergeCell ref="B32:G32"/>
    <mergeCell ref="B33:G33"/>
    <mergeCell ref="B34:G34"/>
    <mergeCell ref="B35:G35"/>
    <mergeCell ref="B25:G25"/>
    <mergeCell ref="B26:G26"/>
    <mergeCell ref="B9:G9"/>
    <mergeCell ref="B15:G15"/>
    <mergeCell ref="B10:G10"/>
  </mergeCells>
  <dataValidations count="1">
    <dataValidation type="date" allowBlank="1" showErrorMessage="1" errorTitle="Invalid date" error="Please enter a valid date in the format dd/MM/yyyy" sqref="C7">
      <formula1>1</formula1>
      <formula2>2958465</formula2>
    </dataValidation>
  </dataValidations>
  <pageMargins left="0.70866141732283472" right="0.70866141732283472" top="0.74803149606299213" bottom="0.74803149606299213" header="0.31496062992125984" footer="0.31496062992125984"/>
  <pageSetup paperSize="9" scale="63" orientation="portrait" r:id="rId1"/>
</worksheet>
</file>

<file path=customUI/customUI.xml><?xml version="1.0" encoding="utf-8"?>
<customUI xmlns="http://schemas.microsoft.com/office/2006/01/customui" onLoad="OnLoad">
  <commands>
    <command idMso="SheetProtect" onAction="RepurposeCommand"/>
    <command idMso="Paste" onAction="RepurposeCommand"/>
    <command idMso="FileSave" onAction="RepurposeCommand"/>
    <command idMso="FileNew" onAction="RepurposeCommand"/>
    <command idMso="FileSaveAs" enabled="false"/>
    <command idMso="FileOpen" onAction="RepurposeCommand"/>
    <command idMso="FilePrint" onAction="RepurposeCommand"/>
    <command idMso="FilePrintPreview" onAction="RepurposeCommand"/>
  </commands>
  <ribbon startFromScratch="false">
    <tabs>
      <tab id="TabRWH" label="Rest and Work Hours" insertBeforeMso="TabHome">
        <group id="GroupFile" label="File" getVisible="OnGetVisible">
          <button idMso="FileSave" size="large" onAction="OnButtonClick" supertip="Saves the form to 'C:\Carisbrooke Shipping Ltd\Saved Forms\RWH'"/>
          <splitButton id="SplitButtonPrint" size="large">
            <button idMso="FilePrint" supertip="Prints a copy of the form to be signed by the seafarer."/>
            <menu id="SplitMenuPrint" itemSize="normal" supertip="Choose to print or preview the form.">
              <button idMso="FilePrint" supertip="Prints a copy of the form to be signed by the seafarer."/>
              <button idMso="FilePrintPreview" label="Print Preview" supertip="Shows a print preview of the form."/>
            </menu>
          </splitButton>
          <button id="FileNew" label="New" imageMso="FileNew" onAction="CreateNewRWH" getVisible="OnGetVisible" supertip="Opens a new blank RWH form."/>
          <button id="FileOpen" label="Open" imageMso="FileOpen" onAction="OpenExistingRWH" supertip="Opens the RWH form chosen from the file dialog when shown."/>
          <button id="FileArchive" label="Archive" imageMso="MoveToFolder" onAction="ArchiveRWH" supertip="Moves the current RWH form to the 'C:\Carisbrooke Shipping Ltd\Saved Forms\RWH\Archive'. Use this when a seafarer has signed off of the vessel."/>
        </group>
        <group id="GroupEdit" label="Edit" getVisible="OnGetVisible">
          <splitButton id="SplitButtonNewMonth" size="large">
            <button id="ButtonStartMonth" label="Start New Month" onAction="OnButtonClick" imageMso="DateAndTimeInsert" supertip="Starts a new blank sheet for the next month."/>
            <menu id="SplitMenuNewMonth" itemSize="normal" supertip="Click the drop down to choose alternative options.">
              <button id="MenuButtonStartMonth" label="Start New Month" onAction="OnButtonClick" imageMso="DateAndTimeInsert" supertip="Starts a new blank sheet for the next month."/>
              <button id="MenuButtonPreviousMonth" label="Add Sheet for Last Month" onAction="OnButtonClick" imageMso="DateAndTimeInsert" supertip="Adds a new blank sheet for the previous month."/>
            </menu>
          </splitButton>
          <menu id="MenuMarkAs" size="large" label="Mark As" itemSize="large" getEnabled="OnGetEnabled" imageMso="TableDrawTable" supertip="Mark all selected time slots as operational duty, watchkeeping duty, emergency duty or rest.">
            <button id="ButtonMarkAsOps" label="Operational Duty" onAction="OnButtonClick" imageMso="StartAfterPrevious" supertip="Marks all selected time slots as Operational Duty (O)"/>
            <button id="ButtonMarkAsWatch" label="Watchkeeping Duty" onAction="OnButtonClick" imageMso="FindDialog" supertip="Marks all selected time slots as Watchkeeping Duty (W) "/>
            <button id="ButtonMarkAsEmg" label="Emergency Duty" onAction="OnButtonClick" imageMso="Risks" supertip="Marks all selected time slots as Emergency Duty (E) "/>
            <button id="ButtonMarkAsRest" label="Rest" onAction="OnButtonClick" imageMso="PauseTimer" supertip="Marks all selected time slots as rest periods ( )"/>
          </menu>
        </group>
        <group id="GroupTools" label="Tools">
          <button id="ButtonCheck" label="Check" size="large" onAction="OnButtonClick" getEnabled="OnGetEnabled" imageMso="AcceptInvitation" supertip="Checks for and highlights breaches of a rule; so a red 30min block means, inclusive of that block, 24hours back from that time a rule has been broken."/>
          <button id="ButtonReport" label="Report" size="large" onAction="OnButtonClick" getEnabled="OnGetEnabled" imageMso="CreateReport" supertip="Creates a report and opens it as the current window. This provides more detailed information on the type of rule broken and at what time/date."/>
          <button id="ButtonReset" label="Reset" size="large" onAction="OnButtonClick" getEnabled="OnGetEnabled" imageMso="InkDeleteAllInk" supertip="Clears any highlighted cells for the current month, so a new check can be performed."/>
          <splitButton id="SplitButtonToggleTotals" size="large">
            <toggleButton id="ToggleTotals" label="Totals" getPressed="OnGetPressed" onAction="OnToggleButtonClick" getEnabled="OnGetEnabled" imageMso="TableStyleTotalsRow" supertip="Toggles the totals columns on/off. By default totals will automatically be toggled off when printing."/>
            <menu id="SplitMenuTotals" itemSize="normal" supertip="Choose which totals are shown on the form.">
              <toggleButton id="HideAllTotals" label="Hide All Totals" getPressed="OnGetPressed" onAction="OnToggleButtonClick" getEnabled="OnGetEnabled" supertip="Hides all totals."/>
              <toggleButton id="ShowAllTotals" label="Show All Totals" getPressed="OnGetPressed" onAction="OnToggleButtonClick" getEnabled="OnGetEnabled" supertip="Shows all totals including breakdown of duties."/>
              <toggleButton id="ShowBasicTotals" label="Show Total Rest and Work" getPressed="OnGetPressed" onAction="OnToggleButtonClick" getEnabled="OnGetEnabled" supertip="Shows only total work, total rest, and 7 day rest."/>
              <toggleButton id="ShowPrintTotals" label="Show Totals When Printing" getPressed="OnGetPressed" onAction="OnToggleButtonClick" getEnabled="OnGetEnabled" supertip="Shows total work, total rest, and 7 day rest when printing the form. Please Note: These totals cannot be used to prove compliance with the regulations."/>
            </menu>
          </splitButton>
        </group>
        <group id="GroupSubmit" label="Send" getVisible="OnGetVisible">
          <splitButton id="SplitButtonSubmit" size="large">
            <button id="ButtonSubmit" label="Submit" onAction="OnButtonClick" imageMso="AttachItem" supertip="Submits all active RWH forms to the ISM department."/>
            <menu id="SplitMenuSubmit" itemSize="normal" supertip="Choose how you would like to submit the form.">
              <button id="MenuButtonSubmitAll" label="Submit All" onAction="OnButtonClick" imageMso="AttachItem" supertip="Submits all active RWH forms to the ISM department."/>
              <button id="MenuButtonSubmitThis" label="Submit This Only" onAction="OnButtonClick" imageMso="AttachItem" supertip="Submits only the currently open RWH form to the ISM department."/>
            </menu>
          </splitButton>
        </group>
        <group id="GroupHelp" label="Help">
          <button id="ButtonHelp" label="Help" onAction="OnButtonClick" imageMso="Help" supertip="Shows the help document."/>
        </group>
      </tab>
      <tab idMso="TabHome" getVisible="OnGetVisible"/>
      <tab idMso="TabInsert" getVisible="OnGetVisible"/>
      <tab idMso="TabPageLayoutExcel" getVisible="OnGetVisible"/>
      <tab idMso="TabFormulas" getVisible="OnGetVisible"/>
      <tab idMso="TabData" getVisible="OnGetVisible"/>
      <tab idMso="TabReview" getVisible="OnGetVisible"/>
      <tab idMso="TabView" getVisible="OnGetVisible"/>
      <tab idMso="TabDeveloper" getVisible="OnGetVisible"/>
      <tab idMso="TabAddIns" getVisible="OnGetVisible"/>
    </tabs>
    <officeMenu>
      <button id="FolderBrowse" label="Browse" imageMso="FileOpen" onAction="OpenRWHFolder" insertAfterMso="FileOpen"/>
      <button id="ShipView" getLabel="OnGetLabel" getImage="OnGetImage" onAction="ShipView" insertAfterMso="FileSave" getVisible="OnGetVisible"/>
      <button id="Export" label="Export" imageMso="ExportExcel" onAction="ExportClicked" insertAfterMso="FileSave" getVisible="OnGetVisible"/>
      <button id="Import" label="Import" imageMso="ImportExcel" onAction="ImportClicked" insertAfterMso="FileSave" getVisible="OnGetVisible"/>
      <button idMso="UpgradeWorkbook" getVisible="OnGetVisible"/>
      <splitButton idMso="FileSaveAsMenu" getVisible="OnGetVisible"/>
      <button idMso="FileSaveAs" getVisible="OnGetVisible"/>
      <menu idMso="FilePrepareMenu" getVisible="OnGetVisible"/>
      <menu idMso="FileSendMenu" getVisible="OnGetVisible"/>
      <menu idMso="MenuPublish" getVisible="OnGetVisible"/>
    </officeMenu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</vt:i4>
      </vt:variant>
    </vt:vector>
  </HeadingPairs>
  <TitlesOfParts>
    <vt:vector size="19" baseType="lpstr">
      <vt:lpstr>Instructions</vt:lpstr>
      <vt:lpstr>Archived</vt:lpstr>
      <vt:lpstr>MASTER!Comments</vt:lpstr>
      <vt:lpstr>MASTER!MasterName</vt:lpstr>
      <vt:lpstr>MASTER!Month</vt:lpstr>
      <vt:lpstr>Name</vt:lpstr>
      <vt:lpstr>Number</vt:lpstr>
      <vt:lpstr>Instructions!Print_Area</vt:lpstr>
      <vt:lpstr>MASTER!Print_Area</vt:lpstr>
      <vt:lpstr>Rank</vt:lpstr>
      <vt:lpstr>Ship</vt:lpstr>
      <vt:lpstr>MASTER!SignaturesSection</vt:lpstr>
      <vt:lpstr>SignOnDate</vt:lpstr>
      <vt:lpstr>TimePeriodsOddColumns</vt:lpstr>
      <vt:lpstr>MASTER!TimeSlots</vt:lpstr>
      <vt:lpstr>TotalDutyColumns</vt:lpstr>
      <vt:lpstr>MASTER!TotalsColumns</vt:lpstr>
      <vt:lpstr>MASTER!TotalsRow</vt:lpstr>
      <vt:lpstr>MASTER!TotalWork</vt:lpstr>
    </vt:vector>
  </TitlesOfParts>
  <Company>Carisbrooke Shipping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13/08/1997 17:00:38</dc:title>
  <dc:creator>Daniel Lewandowski</dc:creator>
  <cp:lastModifiedBy>Daniel Lewandowski</cp:lastModifiedBy>
  <cp:lastPrinted>2017-02-02T11:41:56Z</cp:lastPrinted>
  <dcterms:created xsi:type="dcterms:W3CDTF">1997-08-13T16:00:38Z</dcterms:created>
  <dcterms:modified xsi:type="dcterms:W3CDTF">2017-06-08T11:00:14Z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howTotalsWhenPrinting">
    <vt:bool>true</vt:bool>
  </property>
</Properties>
</file>