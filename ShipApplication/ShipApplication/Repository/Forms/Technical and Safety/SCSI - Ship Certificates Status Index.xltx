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F:\ISM Safety and Security\02 - ISM\00 - Drafts\00 - ISM DASHBOARD UPDATES\"/>
    </mc:Choice>
  </mc:AlternateContent>
  <bookViews>
    <workbookView xWindow="0" yWindow="0" windowWidth="19200" windowHeight="11595"/>
  </bookViews>
  <sheets>
    <sheet name="Instructions" sheetId="4" r:id="rId1"/>
    <sheet name="File 1A" sheetId="1" r:id="rId2"/>
    <sheet name="File 1B" sheetId="2" r:id="rId3"/>
    <sheet name="File 2" sheetId="3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0" i="1" l="1"/>
  <c r="G30" i="1" l="1"/>
  <c r="G45" i="1" l="1"/>
  <c r="K45" i="1"/>
  <c r="H45" i="1"/>
  <c r="J45" i="1"/>
  <c r="H14" i="1" l="1"/>
  <c r="G25" i="1" l="1"/>
  <c r="G54" i="1"/>
  <c r="G37" i="1"/>
  <c r="G34" i="1"/>
  <c r="G31" i="1"/>
  <c r="G29" i="1"/>
  <c r="I15" i="2" l="1"/>
  <c r="I16" i="2"/>
  <c r="I14" i="2"/>
  <c r="G22" i="2" l="1"/>
  <c r="G47" i="2" l="1"/>
  <c r="G43" i="2"/>
  <c r="H56" i="1"/>
  <c r="G56" i="1" s="1"/>
  <c r="H55" i="1"/>
  <c r="H41" i="1" l="1"/>
  <c r="G41" i="1" s="1"/>
  <c r="H53" i="1"/>
  <c r="H54" i="1"/>
  <c r="G12" i="1" l="1"/>
  <c r="H37" i="3" l="1"/>
  <c r="H13" i="3"/>
  <c r="G55" i="1" l="1"/>
  <c r="H51" i="1" l="1"/>
  <c r="G46" i="2" l="1"/>
  <c r="H46" i="2"/>
  <c r="H44" i="2"/>
  <c r="G44" i="2"/>
  <c r="H34" i="1" l="1"/>
  <c r="H44" i="3" l="1"/>
  <c r="H42" i="3"/>
  <c r="H39" i="3"/>
  <c r="H38" i="3"/>
  <c r="H36" i="3"/>
  <c r="H35" i="3"/>
  <c r="H33" i="3"/>
  <c r="H34" i="3"/>
  <c r="H32" i="3"/>
  <c r="H31" i="3"/>
  <c r="H30" i="3"/>
  <c r="H29" i="3"/>
  <c r="H28" i="3"/>
  <c r="H27" i="3"/>
  <c r="H26" i="3"/>
  <c r="H25" i="3"/>
  <c r="H24" i="3"/>
  <c r="H23" i="3"/>
  <c r="G23" i="3" s="1"/>
  <c r="H22" i="3"/>
  <c r="H21" i="3"/>
  <c r="H20" i="3"/>
  <c r="H19" i="3"/>
  <c r="H18" i="3"/>
  <c r="H16" i="3"/>
  <c r="H15" i="3"/>
  <c r="H14" i="3"/>
  <c r="H12" i="3"/>
  <c r="H11" i="3"/>
  <c r="G42" i="2"/>
  <c r="G41" i="2"/>
  <c r="H32" i="2"/>
  <c r="G32" i="2"/>
  <c r="H27" i="2"/>
  <c r="G26" i="2"/>
  <c r="G25" i="2"/>
  <c r="H24" i="2"/>
  <c r="G24" i="2"/>
  <c r="G23" i="2"/>
  <c r="H23" i="2"/>
  <c r="H21" i="2"/>
  <c r="H19" i="2"/>
  <c r="G19" i="2"/>
  <c r="H14" i="2"/>
  <c r="H52" i="1"/>
  <c r="H50" i="1"/>
  <c r="H49" i="1"/>
  <c r="H43" i="1"/>
  <c r="H40" i="1"/>
  <c r="H39" i="1"/>
  <c r="H37" i="1"/>
  <c r="H32" i="1"/>
  <c r="H31" i="1"/>
  <c r="H29" i="1"/>
  <c r="H33" i="1"/>
  <c r="H27" i="1"/>
  <c r="G27" i="1" s="1"/>
  <c r="H26" i="1"/>
  <c r="H25" i="1"/>
  <c r="H24" i="1"/>
  <c r="H23" i="1"/>
  <c r="H22" i="1"/>
  <c r="G22" i="1" s="1"/>
  <c r="H19" i="1"/>
  <c r="G17" i="1"/>
  <c r="H16" i="1"/>
  <c r="H17" i="1"/>
  <c r="G14" i="1"/>
  <c r="H13" i="1"/>
  <c r="H12" i="1"/>
  <c r="H11" i="1"/>
  <c r="G11" i="1"/>
  <c r="G38" i="2" l="1"/>
  <c r="G37" i="2"/>
  <c r="G36" i="2"/>
  <c r="G35" i="2"/>
  <c r="G35" i="1" l="1"/>
  <c r="H38" i="1"/>
  <c r="H42" i="1"/>
  <c r="G42" i="1" s="1"/>
  <c r="H40" i="2" l="1"/>
  <c r="H43" i="2"/>
  <c r="G19" i="1"/>
  <c r="G16" i="1"/>
  <c r="G40" i="1"/>
  <c r="G36" i="1"/>
  <c r="G21" i="2"/>
  <c r="G27" i="2"/>
  <c r="G34" i="2"/>
  <c r="G33" i="2"/>
  <c r="G40" i="2"/>
  <c r="H26" i="2" l="1"/>
  <c r="H25" i="2"/>
  <c r="G43" i="1"/>
  <c r="H16" i="2" l="1"/>
  <c r="G16" i="2" s="1"/>
  <c r="H15" i="2"/>
  <c r="G15" i="2" s="1"/>
  <c r="G14" i="2"/>
  <c r="G52" i="1"/>
  <c r="G39" i="1"/>
  <c r="G13" i="1"/>
  <c r="H41" i="2" l="1"/>
  <c r="H42" i="2"/>
  <c r="H35" i="1" l="1"/>
  <c r="G38" i="3" l="1"/>
  <c r="G44" i="3"/>
  <c r="H35" i="2"/>
  <c r="H34" i="2"/>
  <c r="H33" i="2"/>
  <c r="G26" i="1" l="1"/>
  <c r="G38" i="1" l="1"/>
  <c r="H36" i="1"/>
  <c r="G33" i="1"/>
  <c r="G32" i="1"/>
  <c r="G29" i="3" l="1"/>
  <c r="G28" i="3"/>
  <c r="G27" i="3"/>
  <c r="G25" i="3"/>
  <c r="G26" i="3"/>
  <c r="G39" i="3"/>
  <c r="G37" i="3"/>
  <c r="G35" i="3"/>
  <c r="G33" i="3"/>
  <c r="G23" i="1" l="1"/>
  <c r="G51" i="1" l="1"/>
  <c r="G49" i="1"/>
  <c r="G36" i="3" l="1"/>
  <c r="G31" i="3"/>
  <c r="G32" i="3"/>
  <c r="G34" i="3"/>
  <c r="G30" i="3"/>
  <c r="F15" i="1" l="1"/>
  <c r="G53" i="1" l="1"/>
  <c r="G50" i="1"/>
  <c r="G24" i="1"/>
  <c r="G42" i="3"/>
  <c r="G14" i="3"/>
  <c r="G18" i="3"/>
  <c r="G13" i="3"/>
  <c r="G15" i="3"/>
  <c r="G16" i="3"/>
  <c r="G12" i="3"/>
  <c r="G11" i="3"/>
  <c r="G19" i="3"/>
  <c r="G20" i="3"/>
  <c r="G21" i="3"/>
  <c r="G22" i="3"/>
  <c r="G24" i="3"/>
  <c r="H15" i="1"/>
  <c r="E15" i="1" s="1"/>
  <c r="H20" i="1" l="1"/>
  <c r="H21" i="1"/>
  <c r="H28" i="1"/>
  <c r="G28" i="1" s="1"/>
  <c r="H46" i="1"/>
  <c r="H47" i="1"/>
  <c r="H48" i="1"/>
  <c r="G21" i="1" l="1"/>
  <c r="F21" i="1" s="1"/>
  <c r="E21" i="1" s="1"/>
  <c r="G20" i="1"/>
  <c r="F20" i="1" s="1"/>
  <c r="E20" i="1" s="1"/>
  <c r="E28" i="1"/>
  <c r="B29" i="2"/>
</calcChain>
</file>

<file path=xl/sharedStrings.xml><?xml version="1.0" encoding="utf-8"?>
<sst xmlns="http://schemas.openxmlformats.org/spreadsheetml/2006/main" count="672" uniqueCount="193">
  <si>
    <t>No</t>
  </si>
  <si>
    <t>Certificate of Registry</t>
  </si>
  <si>
    <t>Alternative Compliance Scheme (UK Flag Only)</t>
  </si>
  <si>
    <t>Minimum Safe Manning Document</t>
  </si>
  <si>
    <t>ISM - Company Document of Compliance (DOC) COPY ONLY</t>
  </si>
  <si>
    <t>ISM &amp; Technical Management Responsibility Letter (Declaration of Owner)</t>
  </si>
  <si>
    <t>ISM - Safety Management Certificate (SMC)</t>
  </si>
  <si>
    <t>ISPS - International Ship Security Certificate (ISSC)</t>
  </si>
  <si>
    <t>Maritime Labour Certificate</t>
  </si>
  <si>
    <t>Declaration of Maritime Labour Compliance - Part 1</t>
  </si>
  <si>
    <t>Declaration of Maritime Labour Compliance - Part 2</t>
  </si>
  <si>
    <t>Radio Station Licence</t>
  </si>
  <si>
    <t>Wreck Removal Certificate</t>
  </si>
  <si>
    <t>International Load Line Certificate (+ Conditions of Assignment)</t>
  </si>
  <si>
    <t>International Tonnage Certificate</t>
  </si>
  <si>
    <t>Cargo Ship Safety Construction Certificate</t>
  </si>
  <si>
    <t>International Sewage Pollution Certificate</t>
  </si>
  <si>
    <t>Certificate of Compliance for the Carriage of Solid Bulk Cargoes</t>
  </si>
  <si>
    <t>Certificate for the Carriage of Grain</t>
  </si>
  <si>
    <t>Document of Compliance for Ships Carrying Dangerous Goods</t>
  </si>
  <si>
    <t>International Energy Efficiency Certificate</t>
  </si>
  <si>
    <t>Suez Canal Tonnage Certificate (if applicable)</t>
  </si>
  <si>
    <t>Panama Canal Special Tonnage (if applicable)</t>
  </si>
  <si>
    <t>PCSOPEP - Notice of Acknowledgment (if applicable)</t>
  </si>
  <si>
    <t>USA - Certificate of Financial Responsibility (+ COFR - California if applicable)</t>
  </si>
  <si>
    <t>USA - Certificate of Entry and Acceptance (SIGcO)</t>
  </si>
  <si>
    <t>USCG NTVRP Authorisation Letter</t>
  </si>
  <si>
    <t>Ship Sanitation Control (Exemption) Certificate</t>
  </si>
  <si>
    <t>Anti-Fouling System Certificate</t>
  </si>
  <si>
    <t>Record of Approved Cargo Ship Accommodation</t>
  </si>
  <si>
    <t>Sound Reception Exemption (if applicable)</t>
  </si>
  <si>
    <t>Merchant Shipping Medical Scales Certificate</t>
  </si>
  <si>
    <t>Certificate of Asbestos Free or equivalent</t>
  </si>
  <si>
    <t>Protection and Indemnity (P&amp;I) Certificate of Entry</t>
  </si>
  <si>
    <t>Hull and Machinery Certificate (Insurance)</t>
  </si>
  <si>
    <t>Gyro Compass Service (Maker's Interval)</t>
  </si>
  <si>
    <t>Deviation Card - copy (+ Magnetic Compass Adjustment as done by Shore Service)</t>
  </si>
  <si>
    <t>Oily Water Separator Calibration Certificate - Original (copy to be kept in the Oil Record Book)</t>
  </si>
  <si>
    <t>Drinking Water Analysis Test Certificate / Report - All certificates (history of testing) to be kept</t>
  </si>
  <si>
    <t>Statement of Dry Dock Survey for US EPA Pollution Discharge Elimination (where applicable)</t>
  </si>
  <si>
    <t>Loading Programme Certificate and Loading PC Certificate</t>
  </si>
  <si>
    <t>Voyager Licence</t>
  </si>
  <si>
    <t>Admiralty Digital Publications Licence</t>
  </si>
  <si>
    <t>ECDIS Licence</t>
  </si>
  <si>
    <t>VDR/S-VDR Annual Performance Test Certificate</t>
  </si>
  <si>
    <t>AIS Annual Performance Test Certificate</t>
  </si>
  <si>
    <t>Long-Range Identification and Tracking TEST CONFORMANCE Certificate (LRIT)</t>
  </si>
  <si>
    <t>Rescue Boat</t>
  </si>
  <si>
    <t>Free-Fall Lifeboat (where FFLB is fitted)</t>
  </si>
  <si>
    <t>Davits and Release Hooks</t>
  </si>
  <si>
    <t>Wire Certificates (for davits)</t>
  </si>
  <si>
    <t>Rescue Boat Sling Certificates</t>
  </si>
  <si>
    <t>Local Application Fixed Fire Fighting System (i.e. water mist)</t>
  </si>
  <si>
    <t>Anchors, Chains &amp; Fittings</t>
  </si>
  <si>
    <t>Mooring Ropes (number of rope ID tag must be on the certificate)</t>
  </si>
  <si>
    <t>Ultrasonic Hatch Test Reports</t>
  </si>
  <si>
    <t>Oxygen and Acetylene Cylinder certificates</t>
  </si>
  <si>
    <r>
      <t>CO</t>
    </r>
    <r>
      <rPr>
        <sz val="11"/>
        <color theme="1"/>
        <rFont val="Calibri"/>
        <family val="2"/>
      </rPr>
      <t>₂ Fixed Fire Fighting System</t>
    </r>
  </si>
  <si>
    <t>Planned Maintenance System Certificate</t>
  </si>
  <si>
    <t>Regs4Ships Subscription Certificate</t>
  </si>
  <si>
    <t>Bridge Navigational Watch Alarm System (BNWAS)</t>
  </si>
  <si>
    <t>N/A</t>
  </si>
  <si>
    <t>Immersion Suits - less than 10yrs old</t>
  </si>
  <si>
    <t>Immersion Suits - over 10yrs old</t>
  </si>
  <si>
    <t>Immersion Suits - incorporating self inflatable Lifejackets</t>
  </si>
  <si>
    <t xml:space="preserve">Crew Accommodation Exemption Certificate </t>
  </si>
  <si>
    <t>Medical Oxygen Cylinders Pressure Test</t>
  </si>
  <si>
    <t>Medical Oxygen Cylinders Recharging (REPLACEMENT OF Oxygen)</t>
  </si>
  <si>
    <t>Portable Fire Extinguishers Pressure Test</t>
  </si>
  <si>
    <t>Portable Fire Extinguishers Service</t>
  </si>
  <si>
    <t>EEBD Cylinder Pressure Test</t>
  </si>
  <si>
    <t>EEBD Annual Service</t>
  </si>
  <si>
    <t>Update/Insert the Endorsement Date</t>
  </si>
  <si>
    <t>Your certificate is out of date</t>
  </si>
  <si>
    <t xml:space="preserve">This certificate needs to be endorsed/will expire in less than 3 months </t>
  </si>
  <si>
    <t>This certificate needs to be endorsed/will expire in less than 6 months</t>
  </si>
  <si>
    <t>As per Manufacturer's Instructions</t>
  </si>
  <si>
    <t>As stated on Certificate</t>
  </si>
  <si>
    <t>Issue
Date</t>
  </si>
  <si>
    <t>Expiry
Date</t>
  </si>
  <si>
    <t>Remarks</t>
  </si>
  <si>
    <t>To compare with last endorsed</t>
  </si>
  <si>
    <t>The certificate is up to date</t>
  </si>
  <si>
    <t>Last Updated</t>
  </si>
  <si>
    <t>DD/MM/YYYY</t>
  </si>
  <si>
    <t>As Stated on Certificate</t>
  </si>
  <si>
    <t>4A</t>
  </si>
  <si>
    <t>4B</t>
  </si>
  <si>
    <t>8A</t>
  </si>
  <si>
    <t>8B</t>
  </si>
  <si>
    <t>8C</t>
  </si>
  <si>
    <t>27A</t>
  </si>
  <si>
    <t>27B</t>
  </si>
  <si>
    <t xml:space="preserve">Certificate of Class </t>
  </si>
  <si>
    <t>As stated on Service Report</t>
  </si>
  <si>
    <t>Read Oil Monitoring Device- 5 years Calibration</t>
  </si>
  <si>
    <t>From Fitting</t>
  </si>
  <si>
    <t>LGR: Lifting Equip. &amp; Loose Gear Register Form (Non Cargo Lifting and Lashing, non LSA)- INSPEC. &amp; COLOUR CHANGED BY C/O</t>
  </si>
  <si>
    <t>Interim Certificate (if applicable)</t>
  </si>
  <si>
    <t xml:space="preserve">As Stated on Certificate </t>
  </si>
  <si>
    <t>This certificate needs to be endorsed/will expire in less than 12/6 months</t>
  </si>
  <si>
    <t xml:space="preserve">This certificate needs to be endorsed/will expire in less than 6/3 months </t>
  </si>
  <si>
    <t xml:space="preserve">Garbage Pollution Prevention Certificate / Attestation/Statement of Compliance </t>
  </si>
  <si>
    <t>Enter expiry interval Or N/A</t>
  </si>
  <si>
    <r>
      <t>Anchor Dues for ……</t>
    </r>
    <r>
      <rPr>
        <sz val="11"/>
        <color rgb="FFFF0000"/>
        <rFont val="Calibri"/>
        <family val="2"/>
        <scheme val="minor"/>
      </rPr>
      <t>(Country)</t>
    </r>
  </si>
  <si>
    <r>
      <t>Light Dues for ……</t>
    </r>
    <r>
      <rPr>
        <sz val="11"/>
        <color rgb="FFFF0000"/>
        <rFont val="Calibri"/>
        <family val="2"/>
        <scheme val="minor"/>
      </rPr>
      <t>(Country)</t>
    </r>
  </si>
  <si>
    <r>
      <t xml:space="preserve">As Stated on Certificate. </t>
    </r>
    <r>
      <rPr>
        <sz val="10"/>
        <color rgb="FFFF0000"/>
        <rFont val="Calibri"/>
        <family val="2"/>
        <scheme val="minor"/>
      </rPr>
      <t>UPDATE/REMOVE</t>
    </r>
    <r>
      <rPr>
        <sz val="10"/>
        <color theme="1"/>
        <rFont val="Calibri"/>
        <family val="2"/>
        <scheme val="minor"/>
      </rPr>
      <t xml:space="preserve"> Information once you have received CoC.</t>
    </r>
  </si>
  <si>
    <t>Expiry
Interval
(months)</t>
  </si>
  <si>
    <t>Instructions</t>
  </si>
  <si>
    <t xml:space="preserve">Flag    </t>
  </si>
  <si>
    <t>End.
Interval
(months)</t>
  </si>
  <si>
    <t>End.
Window
(months)</t>
  </si>
  <si>
    <t>Last
Endorsed/
Expired</t>
  </si>
  <si>
    <t>Ship's Certificates Status Index -     File 2</t>
  </si>
  <si>
    <t>Ship's Certificates Status Index -    File 1B</t>
  </si>
  <si>
    <t>Liferaft No 3 Position FWD</t>
  </si>
  <si>
    <t>Liferaft No 2 Position Starboard</t>
  </si>
  <si>
    <t>Liferaft No 1 Position Port</t>
  </si>
  <si>
    <t>Record of Safety Equipment (Form E)</t>
  </si>
  <si>
    <t>Record of Approved Cargo Ship Safety Equipment</t>
  </si>
  <si>
    <t>Cargo Ship Safety Equipment Certificate</t>
  </si>
  <si>
    <t>International Oil Pollution Prevention Certificate (IOPP)</t>
  </si>
  <si>
    <t>Record of Construction &amp; Equipment</t>
  </si>
  <si>
    <t xml:space="preserve">Cargo Ship Safety Radio Certificate </t>
  </si>
  <si>
    <t>Record of Radio Equipment (Form R)</t>
  </si>
  <si>
    <t>Record of Approved GMDSS Radio Installation</t>
  </si>
  <si>
    <t>Supplement to IAPP (Record of Construction &amp; Equipment)</t>
  </si>
  <si>
    <t>GMDSS-Shore based Maintenance Certificate (+Record of Equipment for GMDSS Radio Facilities)</t>
  </si>
  <si>
    <t>SSAS (type certificate and installation report)</t>
  </si>
  <si>
    <t>EPIRB Annual Performance Verification (+EPIRB Reg. Database Report + Float-Free EPIRB Service)</t>
  </si>
  <si>
    <t>Step 1. Update the "Issue Date" for each certificate.</t>
  </si>
  <si>
    <t>Step 2. Update the "Expiry Date" and "Endorsement date" where applicable</t>
  </si>
  <si>
    <t>Classification Society</t>
  </si>
  <si>
    <t>Continuous Synopsis Records (CSR's - Forms 1, 2 &amp; 3)- File</t>
  </si>
  <si>
    <r>
      <t>Ship's Certificates Status Index -    File 1A</t>
    </r>
    <r>
      <rPr>
        <b/>
        <sz val="12"/>
        <color rgb="FFFF0000"/>
        <rFont val="Calibri"/>
        <family val="2"/>
        <scheme val="minor"/>
      </rPr>
      <t/>
    </r>
  </si>
  <si>
    <r>
      <t>Last Port State Control Report;  .…</t>
    </r>
    <r>
      <rPr>
        <sz val="11"/>
        <color rgb="FFFF0000"/>
        <rFont val="Calibri"/>
        <family val="2"/>
        <scheme val="minor"/>
      </rPr>
      <t>(PORT NAME)</t>
    </r>
  </si>
  <si>
    <r>
      <t>Last Port State Control Report Paris MOU:…</t>
    </r>
    <r>
      <rPr>
        <sz val="11"/>
        <color rgb="FFFF0000"/>
        <rFont val="Calibri"/>
        <family val="2"/>
        <scheme val="minor"/>
      </rPr>
      <t>(PORT NAME)</t>
    </r>
  </si>
  <si>
    <r>
      <t>Last Port State Control Report; ….</t>
    </r>
    <r>
      <rPr>
        <sz val="11"/>
        <color rgb="FFFF0000"/>
        <rFont val="Calibri"/>
        <family val="2"/>
        <scheme val="minor"/>
      </rPr>
      <t>(PORT NAME)</t>
    </r>
  </si>
  <si>
    <t>Certificate of Insurance &amp; Civil Liability for Bunker Pollution Convention</t>
  </si>
  <si>
    <t>Asian Gypsy Moth Certificate (if any)</t>
  </si>
  <si>
    <r>
      <t xml:space="preserve">Enter the Issue Date </t>
    </r>
    <r>
      <rPr>
        <sz val="11"/>
        <color theme="1"/>
        <rFont val="Calibri"/>
        <family val="2"/>
        <scheme val="minor"/>
      </rPr>
      <t>and Expiry Date</t>
    </r>
  </si>
  <si>
    <t>Enter the Issue Date and Expiry Date</t>
  </si>
  <si>
    <t>Service should be performed every year</t>
  </si>
  <si>
    <t>Ignore Calibration date. The anniversary date should be the expiry date.</t>
  </si>
  <si>
    <r>
      <rPr>
        <sz val="10"/>
        <color rgb="FFFF0000"/>
        <rFont val="Calibri"/>
        <family val="2"/>
        <scheme val="minor"/>
      </rPr>
      <t xml:space="preserve">Enter date sample was taken instead of issue date. </t>
    </r>
    <r>
      <rPr>
        <sz val="10"/>
        <color theme="1"/>
        <rFont val="Calibri"/>
        <family val="2"/>
        <scheme val="minor"/>
      </rPr>
      <t>Company requrement- 6 months expiry interval.</t>
    </r>
  </si>
  <si>
    <t>Update the Issue Date</t>
  </si>
  <si>
    <t xml:space="preserve">Update the Issue Date </t>
  </si>
  <si>
    <t>Enter the no. of all CSRs e.g CSR 1-8.</t>
  </si>
  <si>
    <t>Certificate of Compliance ILO 92 &amp; 133 (if applicable)</t>
  </si>
  <si>
    <t>Once expired/turns red, keep the issue date and replace the expiry date by "N/A". Update accordingly</t>
  </si>
  <si>
    <r>
      <t xml:space="preserve">Canada - ECRC/WCRC Contract Confirmation, </t>
    </r>
    <r>
      <rPr>
        <sz val="10"/>
        <color theme="1"/>
        <rFont val="Calibri"/>
        <family val="2"/>
        <scheme val="minor"/>
      </rPr>
      <t>Agreement &amp; Appendix plus Declaration for a ship in waters South of 60th parallel of north latitude</t>
    </r>
  </si>
  <si>
    <t>Wire Certificates (Accommodation Gangways and Ladders)</t>
  </si>
  <si>
    <t>Self Contained Breathing Apparatus (SCBA)- Hydrostatic TEST</t>
  </si>
  <si>
    <t xml:space="preserve">Sewage Water Test Certificate </t>
  </si>
  <si>
    <t>Only for vessels calling at Douala</t>
  </si>
  <si>
    <t xml:space="preserve">BWM Certificate/Statement of Compliance </t>
  </si>
  <si>
    <t>USCG BWM Extension Letter (if applicable)</t>
  </si>
  <si>
    <t>Choose from Drop down Menu</t>
  </si>
  <si>
    <t>Refer to comment shown above</t>
  </si>
  <si>
    <t>Environmental Passport Design</t>
  </si>
  <si>
    <t>Inventory Hazardous Materials</t>
  </si>
  <si>
    <t>Engines International Air Pollution Prevention Certificate (EIAPP) Copies as Origials with ME &amp; AEs Technical Files</t>
  </si>
  <si>
    <t>Certificate
due on</t>
  </si>
  <si>
    <t>2 x Protection and Indemnity (P&amp;I) MLC Insurance Certificates (Seafarer Repatriation Costs + Shipowners Liability)</t>
  </si>
  <si>
    <t xml:space="preserve">International Air Pollution Prevention Certificate (IAPP) </t>
  </si>
  <si>
    <t>15B</t>
  </si>
  <si>
    <t>15A</t>
  </si>
  <si>
    <t xml:space="preserve">Inwater Survey </t>
  </si>
  <si>
    <t>Issue Date= Last Dry Dock Date</t>
  </si>
  <si>
    <t xml:space="preserve"> Lifejackets</t>
  </si>
  <si>
    <t>If Rigid Lifejackets in use- insert the date of expiry of lights</t>
  </si>
  <si>
    <t>When completing the SCSI for the first time:</t>
  </si>
  <si>
    <r>
      <t xml:space="preserve">   (</t>
    </r>
    <r>
      <rPr>
        <sz val="11"/>
        <color rgb="FF0070C0"/>
        <rFont val="Calibri"/>
        <family val="2"/>
        <scheme val="minor"/>
      </rPr>
      <t>blue.fleet@carisbrooke.co</t>
    </r>
    <r>
      <rPr>
        <sz val="11"/>
        <color theme="1"/>
        <rFont val="Calibri"/>
        <family val="2"/>
        <scheme val="minor"/>
      </rPr>
      <t xml:space="preserve"> /</t>
    </r>
    <r>
      <rPr>
        <sz val="11"/>
        <color theme="7"/>
        <rFont val="Calibri"/>
        <family val="2"/>
        <scheme val="minor"/>
      </rPr>
      <t>gold.fleet@carisbrooke.co</t>
    </r>
    <r>
      <rPr>
        <sz val="11"/>
        <color theme="1"/>
        <rFont val="Calibri"/>
        <family val="2"/>
        <scheme val="minor"/>
      </rPr>
      <t xml:space="preserve"> /</t>
    </r>
    <r>
      <rPr>
        <sz val="11"/>
        <color rgb="FF00B050"/>
        <rFont val="Calibri"/>
        <family val="2"/>
        <scheme val="minor"/>
      </rPr>
      <t xml:space="preserve"> green.fleet@carisbrooke.co</t>
    </r>
    <r>
      <rPr>
        <sz val="11"/>
        <color theme="1"/>
        <rFont val="Calibri"/>
        <family val="2"/>
        <scheme val="minor"/>
      </rPr>
      <t>)</t>
    </r>
  </si>
  <si>
    <r>
      <t xml:space="preserve">      (</t>
    </r>
    <r>
      <rPr>
        <sz val="11"/>
        <color rgb="FF0070C0"/>
        <rFont val="Calibri"/>
        <family val="2"/>
        <scheme val="minor"/>
      </rPr>
      <t>blue.fleet@carisbrooke.co</t>
    </r>
    <r>
      <rPr>
        <sz val="11"/>
        <color theme="1"/>
        <rFont val="Calibri"/>
        <family val="2"/>
        <scheme val="minor"/>
      </rPr>
      <t xml:space="preserve"> /</t>
    </r>
    <r>
      <rPr>
        <sz val="11"/>
        <color theme="7"/>
        <rFont val="Calibri"/>
        <family val="2"/>
        <scheme val="minor"/>
      </rPr>
      <t>gold.fleet@carisbrooke.co</t>
    </r>
    <r>
      <rPr>
        <sz val="11"/>
        <rFont val="Calibri"/>
        <family val="2"/>
        <scheme val="minor"/>
      </rPr>
      <t xml:space="preserve"> /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rgb="FF00B050"/>
        <rFont val="Calibri"/>
        <family val="2"/>
        <scheme val="minor"/>
      </rPr>
      <t>green.fleet@carisbrooke.co</t>
    </r>
    <r>
      <rPr>
        <sz val="11"/>
        <color theme="1"/>
        <rFont val="Calibri"/>
        <family val="2"/>
        <scheme val="minor"/>
      </rPr>
      <t>)</t>
    </r>
  </si>
  <si>
    <t>This will save the document to the ISM Dashboard.</t>
  </si>
  <si>
    <t>Step 1. Open the SCSI workbook from the ISM Dashboard.</t>
  </si>
  <si>
    <r>
      <t xml:space="preserve">Step 4. </t>
    </r>
    <r>
      <rPr>
        <b/>
        <sz val="11"/>
        <color theme="1"/>
        <rFont val="Calibri"/>
        <family val="2"/>
        <scheme val="minor"/>
      </rPr>
      <t>Click 'Save'</t>
    </r>
    <r>
      <rPr>
        <sz val="11"/>
        <color theme="1"/>
        <rFont val="Calibri"/>
        <family val="2"/>
        <scheme val="minor"/>
      </rPr>
      <t xml:space="preserve"> the form will save to "C:\Carisbrooke Shipping Ltd\Saved Forms\SCSI\SCSI.xlsx" (default) </t>
    </r>
  </si>
  <si>
    <r>
      <t>“YYYY-MM-DD-Ships name - Certificates Status Index” for example,  "</t>
    </r>
    <r>
      <rPr>
        <b/>
        <sz val="11"/>
        <color theme="1"/>
        <rFont val="Calibri"/>
        <family val="2"/>
        <scheme val="minor"/>
      </rPr>
      <t>2016-08-19 - Anna C. - Certificates Status Index"</t>
    </r>
  </si>
  <si>
    <r>
      <t xml:space="preserve">“YYYY-MM-DD- Ship’s name - Certificates Status Index” for example,  </t>
    </r>
    <r>
      <rPr>
        <b/>
        <sz val="11"/>
        <color theme="1"/>
        <rFont val="Calibri"/>
        <family val="2"/>
        <scheme val="minor"/>
      </rPr>
      <t>"2016-08-19 - Anna C. - Certificates Status Index"</t>
    </r>
  </si>
  <si>
    <r>
      <t xml:space="preserve">Step 5. </t>
    </r>
    <r>
      <rPr>
        <b/>
        <sz val="11"/>
        <color theme="1"/>
        <rFont val="Calibri"/>
        <family val="2"/>
        <scheme val="minor"/>
      </rPr>
      <t xml:space="preserve"> Click ” Save as”</t>
    </r>
    <r>
      <rPr>
        <sz val="11"/>
        <color theme="1"/>
        <rFont val="Calibri"/>
        <family val="2"/>
        <scheme val="minor"/>
      </rPr>
      <t xml:space="preserve"> and save to  your desktop and rename the excel workbook as follows, </t>
    </r>
  </si>
  <si>
    <r>
      <t xml:space="preserve">Step 7. </t>
    </r>
    <r>
      <rPr>
        <b/>
        <sz val="11"/>
        <color theme="1"/>
        <rFont val="Calibri"/>
        <family val="2"/>
        <scheme val="minor"/>
      </rPr>
      <t xml:space="preserve"> Click ” Save as”</t>
    </r>
    <r>
      <rPr>
        <sz val="11"/>
        <color theme="1"/>
        <rFont val="Calibri"/>
        <family val="2"/>
        <scheme val="minor"/>
      </rPr>
      <t xml:space="preserve"> and save to your desktop and rename the excel workbook as follows ,</t>
    </r>
  </si>
  <si>
    <t>Step 8. Send a copy of the completed SCSI to the relevant fleet email address;</t>
  </si>
  <si>
    <t>Steps for updating the SCSI when receiving new certificates / documents onboard</t>
  </si>
  <si>
    <t>Step 2. Amend the relevant folders to reflect the changes in ship certification</t>
  </si>
  <si>
    <t>Step 3. Choose your Classification Society from the drop down menu in tab 1A and the Flag from the drop  down          menu in tab 1B.</t>
  </si>
  <si>
    <r>
      <t>Step 5. Enter the "</t>
    </r>
    <r>
      <rPr>
        <b/>
        <sz val="11"/>
        <color theme="1"/>
        <rFont val="Calibri"/>
        <family val="2"/>
        <scheme val="minor"/>
      </rPr>
      <t>Last Updated</t>
    </r>
    <r>
      <rPr>
        <sz val="11"/>
        <color theme="1"/>
        <rFont val="Calibri"/>
        <family val="2"/>
        <scheme val="minor"/>
      </rPr>
      <t>" date.</t>
    </r>
  </si>
  <si>
    <r>
      <t>Step 3. Update the</t>
    </r>
    <r>
      <rPr>
        <b/>
        <sz val="11"/>
        <color theme="1"/>
        <rFont val="Calibri"/>
        <family val="2"/>
        <scheme val="minor"/>
      </rPr>
      <t xml:space="preserve"> "Last Updated"</t>
    </r>
    <r>
      <rPr>
        <sz val="11"/>
        <color theme="1"/>
        <rFont val="Calibri"/>
        <family val="2"/>
        <scheme val="minor"/>
      </rPr>
      <t xml:space="preserve"> date.</t>
    </r>
  </si>
  <si>
    <r>
      <t xml:space="preserve">    </t>
    </r>
    <r>
      <rPr>
        <b/>
        <i/>
        <sz val="11"/>
        <color theme="1"/>
        <rFont val="Calibri"/>
        <family val="2"/>
        <scheme val="minor"/>
      </rPr>
      <t xml:space="preserve">  * </t>
    </r>
    <r>
      <rPr>
        <b/>
        <i/>
        <sz val="12"/>
        <color theme="1"/>
        <rFont val="Calibri"/>
        <family val="2"/>
        <scheme val="minor"/>
      </rPr>
      <t>Note</t>
    </r>
    <r>
      <rPr>
        <b/>
        <i/>
        <sz val="11"/>
        <color theme="1"/>
        <rFont val="Calibri"/>
        <family val="2"/>
        <scheme val="minor"/>
      </rPr>
      <t>: If you have recieved an original certificate, copy or scan in MSF from the Office only email the SCSI -</t>
    </r>
  </si>
  <si>
    <r>
      <t xml:space="preserve">       Do not re send the scanned versions of the certificate </t>
    </r>
    <r>
      <rPr>
        <b/>
        <i/>
        <u/>
        <sz val="11"/>
        <color theme="1"/>
        <rFont val="Calibri"/>
        <family val="2"/>
        <scheme val="minor"/>
      </rPr>
      <t xml:space="preserve">back </t>
    </r>
    <r>
      <rPr>
        <b/>
        <i/>
        <sz val="11"/>
        <color theme="1"/>
        <rFont val="Calibri"/>
        <family val="2"/>
        <scheme val="minor"/>
      </rPr>
      <t>to the office*</t>
    </r>
  </si>
  <si>
    <t>Step 6. If you have received a new certificate/document onboard as hard copy then you must scan it as an attachment</t>
  </si>
  <si>
    <r>
      <t>to the relevant fleet email address with the updated SCSI.</t>
    </r>
    <r>
      <rPr>
        <i/>
        <sz val="11"/>
        <color theme="1"/>
        <rFont val="Calibri"/>
        <family val="2"/>
        <scheme val="minor"/>
      </rPr>
      <t xml:space="preserve"> (Name the certificate appropriatly, example: 'Inwater Survey')</t>
    </r>
  </si>
  <si>
    <r>
      <t xml:space="preserve">Step 4. For </t>
    </r>
    <r>
      <rPr>
        <b/>
        <sz val="11"/>
        <color rgb="FFFF0000"/>
        <rFont val="Calibri"/>
        <family val="2"/>
        <scheme val="minor"/>
      </rPr>
      <t>red</t>
    </r>
    <r>
      <rPr>
        <sz val="11"/>
        <color rgb="FFFF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cells in the "Expiry Interval" column enter the expiry interval as indicated.</t>
    </r>
  </si>
  <si>
    <r>
      <t xml:space="preserve">Step 6. </t>
    </r>
    <r>
      <rPr>
        <b/>
        <sz val="11"/>
        <color theme="1"/>
        <rFont val="Calibri"/>
        <family val="2"/>
        <scheme val="minor"/>
      </rPr>
      <t>Click 'Save'</t>
    </r>
    <r>
      <rPr>
        <sz val="11"/>
        <color theme="1"/>
        <rFont val="Calibri"/>
        <family val="2"/>
        <scheme val="minor"/>
      </rPr>
      <t xml:space="preserve"> , select Browse and then save to "C:\Carisbrooke Shipping Ltd\Saved Forms\SCSI\SCSI.xlsx" (default)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</si>
</sst>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2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u/>
      <sz val="11"/>
      <color rgb="FF00B050"/>
      <name val="Calibri"/>
      <family val="2"/>
      <scheme val="minor"/>
    </font>
    <font>
      <b/>
      <u/>
      <sz val="10"/>
      <color rgb="FF00B050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rgb="FFB2B2B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8" fillId="7" borderId="17" applyNumberFormat="0" applyAlignment="0" applyProtection="0"/>
    <xf numFmtId="0" fontId="12" fillId="10" borderId="25" applyNumberFormat="0" applyFont="0" applyAlignment="0" applyProtection="0"/>
  </cellStyleXfs>
  <cellXfs count="227">
    <xf numFmtId="0" fontId="0" fillId="0" borderId="0" xfId="0"/>
    <xf numFmtId="0" fontId="0" fillId="0" borderId="0" xfId="0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0" borderId="0" xfId="0" applyNumberFormat="1"/>
    <xf numFmtId="0" fontId="3" fillId="2" borderId="9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 applyProtection="1">
      <alignment horizontal="center" vertical="center"/>
    </xf>
    <xf numFmtId="1" fontId="1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1" fontId="1" fillId="0" borderId="1" xfId="0" applyNumberFormat="1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1" fillId="0" borderId="5" xfId="0" applyFont="1" applyBorder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0" fontId="6" fillId="0" borderId="7" xfId="0" applyFont="1" applyBorder="1" applyAlignment="1" applyProtection="1">
      <alignment horizontal="center" vertical="center"/>
    </xf>
    <xf numFmtId="0" fontId="6" fillId="0" borderId="1" xfId="0" applyFont="1" applyBorder="1" applyAlignment="1" applyProtection="1">
      <alignment horizontal="center" vertical="center"/>
    </xf>
    <xf numFmtId="0" fontId="7" fillId="0" borderId="0" xfId="0" applyFont="1"/>
    <xf numFmtId="0" fontId="0" fillId="0" borderId="0" xfId="0" applyAlignment="1">
      <alignment horizontal="left" wrapText="1"/>
    </xf>
    <xf numFmtId="164" fontId="1" fillId="0" borderId="1" xfId="0" applyNumberFormat="1" applyFont="1" applyBorder="1" applyAlignment="1">
      <alignment horizontal="center" vertical="center" wrapText="1"/>
    </xf>
    <xf numFmtId="164" fontId="1" fillId="0" borderId="1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 wrapText="1"/>
    </xf>
    <xf numFmtId="164" fontId="1" fillId="0" borderId="7" xfId="0" applyNumberFormat="1" applyFont="1" applyBorder="1" applyAlignment="1" applyProtection="1">
      <alignment horizontal="center" vertical="center" wrapText="1"/>
    </xf>
    <xf numFmtId="164" fontId="1" fillId="0" borderId="1" xfId="0" applyNumberFormat="1" applyFont="1" applyFill="1" applyBorder="1" applyAlignment="1" applyProtection="1">
      <alignment horizontal="center" vertical="center" wrapText="1"/>
    </xf>
    <xf numFmtId="164" fontId="1" fillId="0" borderId="1" xfId="0" applyNumberFormat="1" applyFont="1" applyBorder="1" applyAlignment="1" applyProtection="1">
      <alignment horizontal="center" vertical="center"/>
    </xf>
    <xf numFmtId="164" fontId="1" fillId="0" borderId="1" xfId="0" applyNumberFormat="1" applyFont="1" applyBorder="1" applyAlignment="1" applyProtection="1">
      <alignment horizontal="center" vertical="center" wrapText="1"/>
    </xf>
    <xf numFmtId="0" fontId="0" fillId="0" borderId="0" xfId="0" applyFill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7" fillId="0" borderId="0" xfId="0" applyFont="1" applyBorder="1" applyAlignment="1">
      <alignment horizontal="right"/>
    </xf>
    <xf numFmtId="0" fontId="7" fillId="0" borderId="0" xfId="0" applyFont="1" applyAlignment="1">
      <alignment horizontal="right" wrapText="1"/>
    </xf>
    <xf numFmtId="0" fontId="0" fillId="0" borderId="18" xfId="0" applyBorder="1"/>
    <xf numFmtId="0" fontId="0" fillId="8" borderId="19" xfId="0" applyFill="1" applyBorder="1"/>
    <xf numFmtId="0" fontId="0" fillId="6" borderId="20" xfId="0" applyFill="1" applyBorder="1"/>
    <xf numFmtId="0" fontId="0" fillId="4" borderId="20" xfId="0" applyFill="1" applyBorder="1"/>
    <xf numFmtId="0" fontId="0" fillId="5" borderId="20" xfId="0" applyFill="1" applyBorder="1"/>
    <xf numFmtId="0" fontId="0" fillId="3" borderId="21" xfId="0" applyFill="1" applyBorder="1"/>
    <xf numFmtId="0" fontId="7" fillId="0" borderId="0" xfId="0" applyFont="1" applyAlignment="1"/>
    <xf numFmtId="0" fontId="7" fillId="0" borderId="0" xfId="0" applyFont="1" applyBorder="1" applyAlignment="1"/>
    <xf numFmtId="0" fontId="8" fillId="0" borderId="0" xfId="1" applyFill="1" applyBorder="1" applyAlignment="1">
      <alignment horizontal="center"/>
    </xf>
    <xf numFmtId="0" fontId="0" fillId="0" borderId="0" xfId="0" applyFill="1" applyBorder="1"/>
    <xf numFmtId="0" fontId="0" fillId="0" borderId="0" xfId="0" applyBorder="1"/>
    <xf numFmtId="0" fontId="7" fillId="0" borderId="0" xfId="0" applyFont="1" applyFill="1" applyBorder="1"/>
    <xf numFmtId="0" fontId="0" fillId="9" borderId="20" xfId="0" applyFill="1" applyBorder="1"/>
    <xf numFmtId="0" fontId="6" fillId="0" borderId="1" xfId="0" applyFont="1" applyFill="1" applyBorder="1" applyAlignment="1" applyProtection="1">
      <alignment horizontal="center" vertical="center"/>
    </xf>
    <xf numFmtId="0" fontId="0" fillId="0" borderId="0" xfId="0" applyFill="1"/>
    <xf numFmtId="164" fontId="0" fillId="0" borderId="0" xfId="0" applyNumberFormat="1"/>
    <xf numFmtId="0" fontId="5" fillId="2" borderId="16" xfId="0" applyFont="1" applyFill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/>
    </xf>
    <xf numFmtId="0" fontId="0" fillId="0" borderId="15" xfId="0" applyFont="1" applyBorder="1" applyAlignment="1">
      <alignment horizontal="left" vertical="center" wrapText="1" indent="1"/>
    </xf>
    <xf numFmtId="0" fontId="0" fillId="0" borderId="3" xfId="0" applyFont="1" applyBorder="1" applyAlignment="1">
      <alignment horizontal="left" vertical="center" wrapText="1" indent="1"/>
    </xf>
    <xf numFmtId="0" fontId="0" fillId="0" borderId="6" xfId="0" applyFont="1" applyBorder="1" applyAlignment="1">
      <alignment horizontal="left" vertical="center" wrapText="1" indent="1"/>
    </xf>
    <xf numFmtId="0" fontId="10" fillId="0" borderId="1" xfId="0" applyFont="1" applyFill="1" applyBorder="1" applyAlignment="1" applyProtection="1">
      <alignment horizontal="center" vertical="center" wrapText="1"/>
    </xf>
    <xf numFmtId="0" fontId="5" fillId="0" borderId="0" xfId="0" applyFont="1"/>
    <xf numFmtId="0" fontId="0" fillId="0" borderId="0" xfId="0" applyAlignment="1">
      <alignment horizontal="left" indent="2"/>
    </xf>
    <xf numFmtId="0" fontId="5" fillId="0" borderId="0" xfId="0" applyFont="1" applyAlignment="1">
      <alignment horizontal="right" indent="1"/>
    </xf>
    <xf numFmtId="0" fontId="0" fillId="0" borderId="18" xfId="0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9" fillId="0" borderId="0" xfId="0" applyFont="1" applyFill="1"/>
    <xf numFmtId="164" fontId="9" fillId="0" borderId="0" xfId="0" applyNumberFormat="1" applyFont="1" applyFill="1"/>
    <xf numFmtId="0" fontId="1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left" wrapText="1" indent="2"/>
    </xf>
    <xf numFmtId="0" fontId="0" fillId="0" borderId="0" xfId="0" applyAlignment="1" applyProtection="1">
      <alignment horizontal="center" vertical="center"/>
    </xf>
    <xf numFmtId="0" fontId="0" fillId="0" borderId="0" xfId="0" applyProtection="1"/>
    <xf numFmtId="0" fontId="0" fillId="0" borderId="18" xfId="0" applyBorder="1" applyAlignment="1" applyProtection="1">
      <alignment horizontal="center" vertical="center"/>
    </xf>
    <xf numFmtId="0" fontId="0" fillId="8" borderId="19" xfId="0" applyFill="1" applyBorder="1" applyAlignment="1" applyProtection="1">
      <alignment horizontal="center" vertical="center"/>
    </xf>
    <xf numFmtId="0" fontId="8" fillId="0" borderId="0" xfId="1" applyFill="1" applyBorder="1" applyAlignment="1" applyProtection="1">
      <alignment horizontal="center"/>
    </xf>
    <xf numFmtId="0" fontId="0" fillId="4" borderId="20" xfId="0" applyFill="1" applyBorder="1" applyAlignment="1" applyProtection="1">
      <alignment horizontal="center" vertical="center"/>
    </xf>
    <xf numFmtId="0" fontId="0" fillId="5" borderId="20" xfId="0" applyFill="1" applyBorder="1" applyAlignment="1" applyProtection="1">
      <alignment horizontal="center" vertical="center"/>
    </xf>
    <xf numFmtId="0" fontId="0" fillId="3" borderId="21" xfId="0" applyFill="1" applyBorder="1" applyAlignment="1" applyProtection="1">
      <alignment horizontal="center" vertical="center"/>
    </xf>
    <xf numFmtId="0" fontId="3" fillId="2" borderId="8" xfId="0" applyFont="1" applyFill="1" applyBorder="1" applyAlignment="1" applyProtection="1">
      <alignment horizontal="center" vertical="center"/>
    </xf>
    <xf numFmtId="0" fontId="3" fillId="2" borderId="9" xfId="0" applyFont="1" applyFill="1" applyBorder="1" applyAlignment="1" applyProtection="1">
      <alignment horizontal="center" vertical="center" wrapText="1"/>
    </xf>
    <xf numFmtId="0" fontId="3" fillId="2" borderId="8" xfId="0" applyFont="1" applyFill="1" applyBorder="1" applyAlignment="1" applyProtection="1">
      <alignment horizontal="center" vertical="center" wrapText="1"/>
    </xf>
    <xf numFmtId="0" fontId="5" fillId="2" borderId="16" xfId="0" applyFont="1" applyFill="1" applyBorder="1" applyAlignment="1" applyProtection="1">
      <alignment horizontal="center" vertical="center" wrapText="1"/>
    </xf>
    <xf numFmtId="0" fontId="0" fillId="0" borderId="10" xfId="0" applyFont="1" applyBorder="1" applyAlignment="1" applyProtection="1">
      <alignment horizontal="center" vertical="center"/>
    </xf>
    <xf numFmtId="164" fontId="1" fillId="0" borderId="7" xfId="0" applyNumberFormat="1" applyFont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center" vertical="center"/>
    </xf>
    <xf numFmtId="0" fontId="0" fillId="0" borderId="12" xfId="0" applyFont="1" applyBorder="1" applyAlignment="1" applyProtection="1">
      <alignment horizontal="center" vertical="center"/>
    </xf>
    <xf numFmtId="0" fontId="0" fillId="0" borderId="0" xfId="0" applyBorder="1" applyProtection="1"/>
    <xf numFmtId="0" fontId="0" fillId="0" borderId="0" xfId="0" applyFill="1" applyProtection="1"/>
    <xf numFmtId="164" fontId="1" fillId="0" borderId="10" xfId="0" applyNumberFormat="1" applyFont="1" applyBorder="1" applyAlignment="1" applyProtection="1">
      <alignment horizontal="center" vertical="center"/>
      <protection locked="0"/>
    </xf>
    <xf numFmtId="164" fontId="1" fillId="0" borderId="7" xfId="0" applyNumberFormat="1" applyFont="1" applyBorder="1" applyAlignment="1" applyProtection="1">
      <alignment horizontal="center" vertical="center"/>
      <protection locked="0"/>
    </xf>
    <xf numFmtId="164" fontId="1" fillId="0" borderId="2" xfId="0" applyNumberFormat="1" applyFont="1" applyBorder="1" applyAlignment="1" applyProtection="1">
      <alignment horizontal="center" vertical="center"/>
      <protection locked="0"/>
    </xf>
    <xf numFmtId="164" fontId="1" fillId="0" borderId="1" xfId="0" applyNumberFormat="1" applyFont="1" applyBorder="1" applyAlignment="1" applyProtection="1">
      <alignment horizontal="center" vertical="center"/>
      <protection locked="0"/>
    </xf>
    <xf numFmtId="164" fontId="1" fillId="0" borderId="4" xfId="0" applyNumberFormat="1" applyFont="1" applyBorder="1" applyAlignment="1" applyProtection="1">
      <alignment horizontal="center" vertical="center"/>
      <protection locked="0"/>
    </xf>
    <xf numFmtId="164" fontId="1" fillId="0" borderId="5" xfId="0" applyNumberFormat="1" applyFont="1" applyBorder="1" applyAlignment="1" applyProtection="1">
      <alignment horizontal="center" vertical="center"/>
      <protection locked="0"/>
    </xf>
    <xf numFmtId="0" fontId="1" fillId="0" borderId="11" xfId="0" applyFont="1" applyBorder="1" applyAlignment="1" applyProtection="1">
      <alignment horizontal="left" vertical="center" wrapText="1" indent="1"/>
      <protection locked="0"/>
    </xf>
    <xf numFmtId="0" fontId="1" fillId="0" borderId="3" xfId="0" applyFont="1" applyBorder="1" applyAlignment="1" applyProtection="1">
      <alignment horizontal="left" vertical="center" wrapText="1" indent="1"/>
      <protection locked="0"/>
    </xf>
    <xf numFmtId="0" fontId="1" fillId="0" borderId="3" xfId="0" applyFont="1" applyFill="1" applyBorder="1" applyAlignment="1" applyProtection="1">
      <alignment horizontal="left" vertical="center" wrapText="1" indent="1"/>
      <protection locked="0"/>
    </xf>
    <xf numFmtId="0" fontId="1" fillId="0" borderId="6" xfId="0" applyFont="1" applyBorder="1" applyAlignment="1" applyProtection="1">
      <alignment horizontal="left" vertical="center" wrapText="1" indent="1"/>
      <protection locked="0"/>
    </xf>
    <xf numFmtId="0" fontId="0" fillId="0" borderId="0" xfId="0" applyAlignment="1" applyProtection="1">
      <alignment wrapText="1"/>
    </xf>
    <xf numFmtId="0" fontId="7" fillId="0" borderId="0" xfId="0" applyFont="1" applyFill="1" applyAlignment="1" applyProtection="1"/>
    <xf numFmtId="0" fontId="7" fillId="0" borderId="0" xfId="0" applyFont="1" applyFill="1" applyAlignment="1" applyProtection="1">
      <alignment horizontal="right"/>
    </xf>
    <xf numFmtId="0" fontId="7" fillId="0" borderId="0" xfId="0" applyFont="1" applyFill="1" applyAlignment="1" applyProtection="1">
      <alignment horizontal="right" wrapText="1"/>
    </xf>
    <xf numFmtId="0" fontId="8" fillId="0" borderId="0" xfId="1" applyFill="1" applyBorder="1" applyAlignment="1" applyProtection="1"/>
    <xf numFmtId="0" fontId="5" fillId="0" borderId="0" xfId="0" applyFont="1" applyAlignment="1" applyProtection="1">
      <alignment horizontal="right" wrapText="1" indent="1"/>
    </xf>
    <xf numFmtId="0" fontId="7" fillId="0" borderId="12" xfId="0" applyFont="1" applyBorder="1" applyAlignment="1" applyProtection="1">
      <alignment horizontal="center" vertical="center"/>
    </xf>
    <xf numFmtId="164" fontId="1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 wrapText="1"/>
    </xf>
    <xf numFmtId="164" fontId="1" fillId="0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 wrapText="1"/>
      <protection locked="0"/>
    </xf>
    <xf numFmtId="0" fontId="1" fillId="0" borderId="13" xfId="0" applyFont="1" applyBorder="1" applyAlignment="1" applyProtection="1">
      <alignment horizontal="left" vertical="center" wrapText="1" indent="1"/>
      <protection locked="0"/>
    </xf>
    <xf numFmtId="0" fontId="6" fillId="0" borderId="3" xfId="0" applyFont="1" applyFill="1" applyBorder="1" applyAlignment="1" applyProtection="1">
      <alignment horizontal="left" vertical="center" wrapText="1" indent="1"/>
      <protection locked="0"/>
    </xf>
    <xf numFmtId="0" fontId="1" fillId="0" borderId="14" xfId="0" applyFont="1" applyBorder="1" applyAlignment="1" applyProtection="1">
      <alignment horizontal="left" vertical="center" wrapText="1" indent="1"/>
      <protection locked="0"/>
    </xf>
    <xf numFmtId="164" fontId="1" fillId="0" borderId="1" xfId="0" applyNumberFormat="1" applyFont="1" applyBorder="1" applyAlignment="1" applyProtection="1">
      <alignment horizontal="center" vertical="center" wrapText="1"/>
      <protection locked="0"/>
    </xf>
    <xf numFmtId="164" fontId="1" fillId="0" borderId="7" xfId="0" applyNumberFormat="1" applyFont="1" applyBorder="1" applyAlignment="1" applyProtection="1">
      <alignment horizontal="center" vertical="center" wrapText="1"/>
      <protection locked="0"/>
    </xf>
    <xf numFmtId="14" fontId="1" fillId="0" borderId="3" xfId="0" applyNumberFormat="1" applyFont="1" applyBorder="1" applyAlignment="1" applyProtection="1">
      <alignment horizontal="left" vertical="center" wrapText="1" indent="1"/>
      <protection locked="0"/>
    </xf>
    <xf numFmtId="0" fontId="8" fillId="10" borderId="25" xfId="2" applyFont="1" applyAlignment="1" applyProtection="1">
      <alignment horizontal="center"/>
      <protection locked="0"/>
    </xf>
    <xf numFmtId="0" fontId="6" fillId="0" borderId="1" xfId="0" applyFont="1" applyFill="1" applyBorder="1" applyAlignment="1" applyProtection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" fillId="0" borderId="22" xfId="0" applyFont="1" applyFill="1" applyBorder="1" applyAlignment="1" applyProtection="1">
      <alignment horizontal="center" vertical="center"/>
    </xf>
    <xf numFmtId="0" fontId="8" fillId="0" borderId="0" xfId="1" applyFill="1" applyBorder="1" applyAlignment="1">
      <alignment horizontal="center"/>
    </xf>
    <xf numFmtId="0" fontId="0" fillId="9" borderId="19" xfId="0" applyFill="1" applyBorder="1" applyAlignment="1" applyProtection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10" fillId="0" borderId="3" xfId="0" applyFont="1" applyBorder="1" applyAlignment="1" applyProtection="1">
      <alignment horizontal="left" vertical="center" wrapText="1" indent="1"/>
      <protection locked="0"/>
    </xf>
    <xf numFmtId="0" fontId="6" fillId="0" borderId="1" xfId="0" applyFont="1" applyBorder="1" applyAlignment="1" applyProtection="1">
      <alignment horizontal="center" vertical="center" wrapText="1"/>
    </xf>
    <xf numFmtId="164" fontId="1" fillId="0" borderId="28" xfId="0" applyNumberFormat="1" applyFont="1" applyBorder="1" applyAlignment="1" applyProtection="1">
      <alignment horizontal="center" vertical="center"/>
      <protection locked="0"/>
    </xf>
    <xf numFmtId="164" fontId="1" fillId="0" borderId="28" xfId="0" applyNumberFormat="1" applyFont="1" applyBorder="1" applyAlignment="1" applyProtection="1">
      <alignment horizontal="center" vertical="center"/>
    </xf>
    <xf numFmtId="164" fontId="1" fillId="0" borderId="28" xfId="0" applyNumberFormat="1" applyFont="1" applyBorder="1" applyAlignment="1" applyProtection="1">
      <alignment horizontal="center" vertical="center" wrapText="1"/>
    </xf>
    <xf numFmtId="1" fontId="1" fillId="0" borderId="28" xfId="0" applyNumberFormat="1" applyFont="1" applyBorder="1" applyAlignment="1" applyProtection="1">
      <alignment horizontal="center" vertical="center"/>
    </xf>
    <xf numFmtId="0" fontId="1" fillId="0" borderId="28" xfId="0" applyFont="1" applyBorder="1" applyAlignment="1" applyProtection="1">
      <alignment horizontal="center" vertical="center"/>
    </xf>
    <xf numFmtId="0" fontId="6" fillId="0" borderId="28" xfId="0" applyFont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1" fillId="0" borderId="6" xfId="0" applyFont="1" applyBorder="1" applyAlignment="1" applyProtection="1">
      <alignment horizontal="left" vertical="center" wrapText="1"/>
      <protection locked="0"/>
    </xf>
    <xf numFmtId="0" fontId="6" fillId="0" borderId="1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2" fontId="1" fillId="0" borderId="3" xfId="0" applyNumberFormat="1" applyFont="1" applyBorder="1" applyAlignment="1" applyProtection="1">
      <alignment horizontal="center" vertical="center" wrapText="1"/>
      <protection locked="0"/>
    </xf>
    <xf numFmtId="2" fontId="1" fillId="0" borderId="13" xfId="0" applyNumberFormat="1" applyFont="1" applyBorder="1" applyAlignment="1" applyProtection="1">
      <alignment horizontal="left" vertical="center" wrapText="1" indent="1"/>
      <protection locked="0"/>
    </xf>
    <xf numFmtId="1" fontId="6" fillId="0" borderId="1" xfId="0" applyNumberFormat="1" applyFont="1" applyFill="1" applyBorder="1" applyAlignment="1" applyProtection="1">
      <alignment horizontal="center" vertical="center"/>
    </xf>
    <xf numFmtId="1" fontId="1" fillId="0" borderId="1" xfId="0" applyNumberFormat="1" applyFont="1" applyBorder="1" applyAlignment="1" applyProtection="1">
      <alignment horizontal="center" vertical="center" wrapText="1"/>
    </xf>
    <xf numFmtId="1" fontId="10" fillId="0" borderId="1" xfId="0" applyNumberFormat="1" applyFont="1" applyBorder="1" applyAlignment="1" applyProtection="1">
      <alignment horizontal="center" vertical="center" wrapText="1"/>
      <protection locked="0"/>
    </xf>
    <xf numFmtId="0" fontId="7" fillId="0" borderId="12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1" fillId="0" borderId="29" xfId="0" applyNumberFormat="1" applyFont="1" applyBorder="1" applyAlignment="1" applyProtection="1">
      <alignment horizontal="center" vertical="center"/>
      <protection locked="0"/>
    </xf>
    <xf numFmtId="164" fontId="1" fillId="0" borderId="30" xfId="0" applyNumberFormat="1" applyFont="1" applyFill="1" applyBorder="1" applyAlignment="1" applyProtection="1">
      <alignment horizontal="center" vertical="center"/>
      <protection locked="0"/>
    </xf>
    <xf numFmtId="164" fontId="1" fillId="0" borderId="30" xfId="0" applyNumberFormat="1" applyFont="1" applyBorder="1" applyAlignment="1" applyProtection="1">
      <alignment horizontal="center" vertical="center"/>
      <protection locked="0"/>
    </xf>
    <xf numFmtId="164" fontId="1" fillId="0" borderId="31" xfId="0" applyNumberFormat="1" applyFont="1" applyBorder="1" applyAlignment="1" applyProtection="1">
      <alignment horizontal="center" vertical="center"/>
      <protection locked="0"/>
    </xf>
    <xf numFmtId="164" fontId="1" fillId="0" borderId="32" xfId="0" applyNumberFormat="1" applyFont="1" applyBorder="1" applyAlignment="1" applyProtection="1">
      <alignment horizontal="center" vertical="center"/>
      <protection locked="0"/>
    </xf>
    <xf numFmtId="0" fontId="1" fillId="0" borderId="6" xfId="0" applyFont="1" applyBorder="1" applyAlignment="1" applyProtection="1">
      <alignment horizontal="center" vertical="center" wrapText="1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</xf>
    <xf numFmtId="14" fontId="1" fillId="0" borderId="1" xfId="0" applyNumberFormat="1" applyFont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0" fontId="1" fillId="0" borderId="3" xfId="0" applyFont="1" applyBorder="1" applyAlignment="1" applyProtection="1">
      <alignment horizontal="left" vertical="center" wrapText="1"/>
      <protection locked="0"/>
    </xf>
    <xf numFmtId="164" fontId="1" fillId="0" borderId="5" xfId="0" applyNumberFormat="1" applyFont="1" applyFill="1" applyBorder="1" applyAlignment="1" applyProtection="1">
      <alignment horizontal="center" vertical="center"/>
    </xf>
    <xf numFmtId="0" fontId="1" fillId="0" borderId="5" xfId="0" applyFont="1" applyBorder="1" applyAlignment="1" applyProtection="1">
      <alignment horizontal="center" vertical="center" wrapText="1"/>
    </xf>
    <xf numFmtId="14" fontId="1" fillId="0" borderId="30" xfId="0" applyNumberFormat="1" applyFont="1" applyBorder="1" applyAlignment="1" applyProtection="1">
      <alignment horizontal="center" vertical="center"/>
      <protection locked="0"/>
    </xf>
    <xf numFmtId="0" fontId="0" fillId="0" borderId="11" xfId="0" applyFont="1" applyBorder="1" applyAlignment="1" applyProtection="1">
      <alignment horizontal="left" vertical="center" wrapText="1" indent="1"/>
    </xf>
    <xf numFmtId="0" fontId="0" fillId="0" borderId="3" xfId="0" applyFont="1" applyBorder="1" applyAlignment="1" applyProtection="1">
      <alignment horizontal="left" vertical="center" wrapText="1" indent="1"/>
    </xf>
    <xf numFmtId="0" fontId="0" fillId="0" borderId="3" xfId="0" applyFont="1" applyBorder="1" applyAlignment="1" applyProtection="1">
      <alignment horizontal="left" vertical="center" wrapText="1" indent="1"/>
      <protection locked="0"/>
    </xf>
    <xf numFmtId="0" fontId="0" fillId="0" borderId="3" xfId="0" applyFont="1" applyFill="1" applyBorder="1" applyAlignment="1" applyProtection="1">
      <alignment horizontal="left" vertical="center" wrapText="1" indent="1"/>
    </xf>
    <xf numFmtId="0" fontId="0" fillId="0" borderId="6" xfId="0" applyFont="1" applyFill="1" applyBorder="1" applyAlignment="1" applyProtection="1">
      <alignment horizontal="left" vertical="center" wrapText="1" indent="1"/>
    </xf>
    <xf numFmtId="164" fontId="1" fillId="0" borderId="5" xfId="0" applyNumberFormat="1" applyFont="1" applyBorder="1" applyAlignment="1" applyProtection="1">
      <alignment horizontal="center" vertical="center" wrapText="1"/>
    </xf>
    <xf numFmtId="0" fontId="8" fillId="0" borderId="0" xfId="1" applyFill="1" applyBorder="1" applyAlignment="1">
      <alignment horizontal="center"/>
    </xf>
    <xf numFmtId="0" fontId="0" fillId="0" borderId="11" xfId="0" applyFont="1" applyBorder="1" applyAlignment="1">
      <alignment horizontal="left" vertical="center" wrapText="1" indent="1"/>
    </xf>
    <xf numFmtId="0" fontId="0" fillId="0" borderId="3" xfId="0" applyFont="1" applyFill="1" applyBorder="1" applyAlignment="1">
      <alignment horizontal="left" vertical="center" wrapText="1" indent="1"/>
    </xf>
    <xf numFmtId="0" fontId="0" fillId="0" borderId="13" xfId="0" applyFont="1" applyBorder="1" applyAlignment="1">
      <alignment horizontal="left" vertical="center" wrapText="1" indent="1"/>
    </xf>
    <xf numFmtId="0" fontId="0" fillId="0" borderId="6" xfId="0" applyFont="1" applyFill="1" applyBorder="1" applyAlignment="1">
      <alignment horizontal="left" vertical="center" wrapText="1" indent="1"/>
    </xf>
    <xf numFmtId="0" fontId="1" fillId="0" borderId="3" xfId="0" applyFont="1" applyBorder="1" applyAlignment="1" applyProtection="1">
      <alignment horizontal="left" vertical="center" wrapText="1" indent="1"/>
    </xf>
    <xf numFmtId="0" fontId="10" fillId="0" borderId="1" xfId="0" applyFont="1" applyBorder="1" applyAlignment="1" applyProtection="1">
      <alignment horizontal="center" vertical="center" wrapText="1"/>
    </xf>
    <xf numFmtId="0" fontId="7" fillId="0" borderId="3" xfId="0" applyFont="1" applyBorder="1" applyAlignment="1">
      <alignment horizontal="left" vertical="center" wrapText="1" indent="1"/>
    </xf>
    <xf numFmtId="164" fontId="6" fillId="0" borderId="1" xfId="0" applyNumberFormat="1" applyFont="1" applyBorder="1" applyAlignment="1">
      <alignment horizontal="center" vertical="center" wrapText="1"/>
    </xf>
    <xf numFmtId="164" fontId="6" fillId="0" borderId="1" xfId="0" applyNumberFormat="1" applyFont="1" applyBorder="1" applyAlignment="1" applyProtection="1">
      <alignment horizontal="center" vertical="center" wrapText="1"/>
    </xf>
    <xf numFmtId="1" fontId="6" fillId="0" borderId="1" xfId="0" applyNumberFormat="1" applyFont="1" applyBorder="1" applyAlignment="1" applyProtection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left" vertical="center" wrapText="1" indent="1"/>
    </xf>
    <xf numFmtId="164" fontId="15" fillId="0" borderId="30" xfId="0" applyNumberFormat="1" applyFont="1" applyBorder="1" applyAlignment="1" applyProtection="1">
      <alignment horizontal="center" vertical="center"/>
      <protection locked="0"/>
    </xf>
    <xf numFmtId="164" fontId="15" fillId="0" borderId="1" xfId="0" applyNumberFormat="1" applyFont="1" applyBorder="1" applyAlignment="1" applyProtection="1">
      <alignment horizontal="center" vertical="center"/>
      <protection locked="0"/>
    </xf>
    <xf numFmtId="164" fontId="15" fillId="0" borderId="1" xfId="0" applyNumberFormat="1" applyFont="1" applyBorder="1" applyAlignment="1">
      <alignment horizontal="center" vertical="center" wrapText="1"/>
    </xf>
    <xf numFmtId="1" fontId="15" fillId="0" borderId="1" xfId="0" applyNumberFormat="1" applyFont="1" applyBorder="1" applyAlignment="1" applyProtection="1">
      <alignment horizontal="center" vertical="center"/>
    </xf>
    <xf numFmtId="0" fontId="15" fillId="0" borderId="1" xfId="0" applyFont="1" applyBorder="1" applyAlignment="1" applyProtection="1">
      <alignment horizontal="center" vertical="center"/>
    </xf>
    <xf numFmtId="0" fontId="15" fillId="0" borderId="3" xfId="0" applyFont="1" applyBorder="1" applyAlignment="1" applyProtection="1">
      <alignment horizontal="left" vertical="center" wrapText="1" indent="1"/>
      <protection locked="0"/>
    </xf>
    <xf numFmtId="0" fontId="5" fillId="0" borderId="0" xfId="0" quotePrefix="1" applyFont="1"/>
    <xf numFmtId="0" fontId="5" fillId="0" borderId="0" xfId="0" quotePrefix="1" applyFont="1" applyAlignment="1">
      <alignment wrapText="1"/>
    </xf>
    <xf numFmtId="0" fontId="5" fillId="11" borderId="0" xfId="0" applyFont="1" applyFill="1" applyAlignment="1">
      <alignment horizontal="center"/>
    </xf>
    <xf numFmtId="0" fontId="18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8" fillId="0" borderId="0" xfId="1" applyFill="1" applyBorder="1" applyAlignment="1">
      <alignment horizont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13" fillId="10" borderId="25" xfId="2" applyFont="1" applyAlignment="1" applyProtection="1">
      <alignment horizontal="center" vertical="center"/>
      <protection locked="0"/>
    </xf>
    <xf numFmtId="0" fontId="11" fillId="0" borderId="26" xfId="0" applyFont="1" applyBorder="1" applyAlignment="1">
      <alignment horizontal="right" vertical="center" indent="1"/>
    </xf>
    <xf numFmtId="0" fontId="11" fillId="0" borderId="0" xfId="0" applyFont="1" applyBorder="1" applyAlignment="1">
      <alignment horizontal="right" vertical="center" indent="1"/>
    </xf>
    <xf numFmtId="0" fontId="11" fillId="0" borderId="27" xfId="0" applyFont="1" applyBorder="1" applyAlignment="1">
      <alignment horizontal="right" vertical="center" indent="1"/>
    </xf>
    <xf numFmtId="0" fontId="11" fillId="0" borderId="0" xfId="0" applyFont="1" applyFill="1" applyBorder="1" applyAlignment="1">
      <alignment horizontal="center"/>
    </xf>
    <xf numFmtId="0" fontId="0" fillId="0" borderId="2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0" xfId="0" applyFill="1" applyBorder="1" applyAlignment="1">
      <alignment vertical="center"/>
    </xf>
    <xf numFmtId="0" fontId="0" fillId="0" borderId="23" xfId="0" applyFill="1" applyBorder="1" applyAlignment="1">
      <alignment vertical="center"/>
    </xf>
    <xf numFmtId="0" fontId="0" fillId="0" borderId="24" xfId="0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0" fillId="0" borderId="11" xfId="0" applyFill="1" applyBorder="1" applyAlignment="1">
      <alignment vertical="center"/>
    </xf>
    <xf numFmtId="0" fontId="0" fillId="0" borderId="20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0" fillId="0" borderId="20" xfId="0" applyFill="1" applyBorder="1" applyAlignment="1" applyProtection="1">
      <alignment vertical="center"/>
    </xf>
    <xf numFmtId="0" fontId="0" fillId="0" borderId="23" xfId="0" applyFill="1" applyBorder="1" applyAlignment="1" applyProtection="1">
      <alignment vertical="center"/>
    </xf>
    <xf numFmtId="0" fontId="0" fillId="0" borderId="24" xfId="0" applyFill="1" applyBorder="1" applyAlignment="1" applyProtection="1">
      <alignment vertical="center"/>
    </xf>
    <xf numFmtId="0" fontId="11" fillId="0" borderId="26" xfId="0" applyFont="1" applyBorder="1" applyAlignment="1" applyProtection="1">
      <alignment horizontal="right" vertical="center" indent="1"/>
    </xf>
    <xf numFmtId="0" fontId="11" fillId="0" borderId="0" xfId="0" applyFont="1" applyBorder="1" applyAlignment="1" applyProtection="1">
      <alignment horizontal="right" vertical="center" indent="1"/>
    </xf>
    <xf numFmtId="0" fontId="11" fillId="0" borderId="27" xfId="0" applyFont="1" applyBorder="1" applyAlignment="1" applyProtection="1">
      <alignment horizontal="right" vertical="center" indent="1"/>
    </xf>
    <xf numFmtId="0" fontId="0" fillId="0" borderId="10" xfId="0" applyFill="1" applyBorder="1" applyAlignment="1" applyProtection="1">
      <alignment vertical="center"/>
    </xf>
    <xf numFmtId="0" fontId="0" fillId="0" borderId="7" xfId="0" applyFill="1" applyBorder="1" applyAlignment="1" applyProtection="1">
      <alignment vertical="center"/>
    </xf>
    <xf numFmtId="0" fontId="0" fillId="0" borderId="11" xfId="0" applyFill="1" applyBorder="1" applyAlignment="1" applyProtection="1">
      <alignment vertical="center"/>
    </xf>
    <xf numFmtId="0" fontId="0" fillId="0" borderId="4" xfId="0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0" fillId="0" borderId="6" xfId="0" applyBorder="1" applyAlignment="1" applyProtection="1">
      <alignment vertical="center"/>
    </xf>
    <xf numFmtId="0" fontId="0" fillId="0" borderId="2" xfId="0" applyBorder="1" applyAlignment="1" applyProtection="1">
      <alignment vertical="center"/>
    </xf>
    <xf numFmtId="0" fontId="0" fillId="0" borderId="1" xfId="0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0" fontId="0" fillId="0" borderId="20" xfId="0" applyFill="1" applyBorder="1" applyAlignment="1" applyProtection="1">
      <alignment horizontal="left" vertical="center"/>
    </xf>
    <xf numFmtId="0" fontId="0" fillId="0" borderId="23" xfId="0" applyFill="1" applyBorder="1" applyAlignment="1" applyProtection="1">
      <alignment horizontal="left" vertical="center"/>
    </xf>
    <xf numFmtId="0" fontId="0" fillId="0" borderId="24" xfId="0" applyFill="1" applyBorder="1" applyAlignment="1" applyProtection="1">
      <alignment horizontal="left" vertical="center"/>
    </xf>
    <xf numFmtId="0" fontId="0" fillId="0" borderId="20" xfId="0" applyFill="1" applyBorder="1" applyAlignment="1">
      <alignment horizontal="left" vertical="center"/>
    </xf>
    <xf numFmtId="0" fontId="0" fillId="0" borderId="23" xfId="0" applyFill="1" applyBorder="1" applyAlignment="1">
      <alignment horizontal="left" vertical="center"/>
    </xf>
    <xf numFmtId="0" fontId="0" fillId="0" borderId="24" xfId="0" applyFill="1" applyBorder="1" applyAlignment="1">
      <alignment horizontal="left" vertical="center"/>
    </xf>
  </cellXfs>
  <cellStyles count="3">
    <cellStyle name="Input" xfId="1" builtinId="20"/>
    <cellStyle name="Normal" xfId="0" builtinId="0"/>
    <cellStyle name="Note" xfId="2" builtinId="10"/>
  </cellStyles>
  <dxfs count="31">
    <dxf>
      <fill>
        <patternFill>
          <bgColor theme="7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0" tint="-0.14996795556505021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0" tint="-0.14996795556505021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70C0"/>
        </patternFill>
      </fill>
    </dxf>
    <dxf>
      <fill>
        <patternFill>
          <bgColor theme="7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31</xdr:row>
      <xdr:rowOff>161925</xdr:rowOff>
    </xdr:from>
    <xdr:to>
      <xdr:col>1</xdr:col>
      <xdr:colOff>7305675</xdr:colOff>
      <xdr:row>44</xdr:row>
      <xdr:rowOff>104775</xdr:rowOff>
    </xdr:to>
    <xdr:sp macro="" textlink="">
      <xdr:nvSpPr>
        <xdr:cNvPr id="2" name="TextBox 1"/>
        <xdr:cNvSpPr txBox="1"/>
      </xdr:nvSpPr>
      <xdr:spPr>
        <a:xfrm>
          <a:off x="114300" y="6162675"/>
          <a:ext cx="7286625" cy="2419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i="1"/>
            <a:t>For Information:</a:t>
          </a:r>
        </a:p>
        <a:p>
          <a:r>
            <a:rPr lang="en-GB" sz="1100" i="1"/>
            <a:t>If your certificate has expired, it is important to be honest and keep the correct dates except for Cert. 17/18 in File 1B.  Some Captains remarked that Cert. 17/18 in File 1B are going to be red most of the time. To avoid this, you are allowed to keep the issue date of your previous certificate &amp; replace the expiry date by ‘N/A’. Update the issue &amp; expiry dates as soon as new Light/Anchor dues are received.</a:t>
          </a:r>
        </a:p>
        <a:p>
          <a:endParaRPr lang="en-GB" sz="1100" i="1"/>
        </a:p>
        <a:p>
          <a:r>
            <a:rPr lang="en-GB" sz="1100" i="1"/>
            <a:t>The ‘Last Endorsed/Expired’ column is referring to the date when the certificate was last endorsed by a surveyor. If the certificate was issued quite recently and thus, the certificate has not been endorsed yet, then the date in the ‘Last Endorsed/Expired’ cell should be the same as the issue date, as this is equivalent to the date when this certificate was last checked/issued by a surveyor.</a:t>
          </a:r>
        </a:p>
        <a:p>
          <a:endParaRPr lang="en-GB" sz="1100" i="1"/>
        </a:p>
        <a:p>
          <a:r>
            <a:rPr lang="en-GB" sz="1100" i="1"/>
            <a:t>If you have any questions regarding the SCSI and its functions please contact you Technical</a:t>
          </a:r>
          <a:r>
            <a:rPr lang="en-GB" sz="1100" i="1" baseline="0"/>
            <a:t> Assistant.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31"/>
  <sheetViews>
    <sheetView showGridLines="0" showRowColHeaders="0" tabSelected="1" showRuler="0" view="pageLayout" topLeftCell="B1" zoomScaleNormal="140" workbookViewId="0">
      <selection activeCell="B14" sqref="B14"/>
    </sheetView>
  </sheetViews>
  <sheetFormatPr defaultRowHeight="15" x14ac:dyDescent="0.25"/>
  <cols>
    <col min="1" max="1" width="1.28515625" customWidth="1"/>
    <col min="2" max="2" width="102.28515625" customWidth="1"/>
  </cols>
  <sheetData>
    <row r="1" spans="2:2" ht="7.5" customHeight="1" x14ac:dyDescent="0.25"/>
    <row r="2" spans="2:2" ht="7.5" customHeight="1" x14ac:dyDescent="0.25"/>
    <row r="3" spans="2:2" ht="7.5" customHeight="1" x14ac:dyDescent="0.25"/>
    <row r="4" spans="2:2" x14ac:dyDescent="0.25">
      <c r="B4" s="58" t="s">
        <v>108</v>
      </c>
    </row>
    <row r="5" spans="2:2" x14ac:dyDescent="0.25">
      <c r="B5" s="58"/>
    </row>
    <row r="6" spans="2:2" x14ac:dyDescent="0.25">
      <c r="B6" s="180" t="s">
        <v>171</v>
      </c>
    </row>
    <row r="7" spans="2:2" x14ac:dyDescent="0.25">
      <c r="B7" s="59" t="s">
        <v>130</v>
      </c>
    </row>
    <row r="8" spans="2:2" x14ac:dyDescent="0.25">
      <c r="B8" s="59" t="s">
        <v>131</v>
      </c>
    </row>
    <row r="9" spans="2:2" ht="30" x14ac:dyDescent="0.25">
      <c r="B9" s="69" t="s">
        <v>184</v>
      </c>
    </row>
    <row r="10" spans="2:2" x14ac:dyDescent="0.25">
      <c r="B10" s="59" t="s">
        <v>191</v>
      </c>
    </row>
    <row r="11" spans="2:2" x14ac:dyDescent="0.25">
      <c r="B11" s="59" t="s">
        <v>185</v>
      </c>
    </row>
    <row r="12" spans="2:2" x14ac:dyDescent="0.25">
      <c r="B12" s="59" t="s">
        <v>192</v>
      </c>
    </row>
    <row r="13" spans="2:2" x14ac:dyDescent="0.25">
      <c r="B13" s="59" t="s">
        <v>174</v>
      </c>
    </row>
    <row r="14" spans="2:2" x14ac:dyDescent="0.25">
      <c r="B14" s="59" t="s">
        <v>180</v>
      </c>
    </row>
    <row r="15" spans="2:2" x14ac:dyDescent="0.25">
      <c r="B15" s="59" t="s">
        <v>178</v>
      </c>
    </row>
    <row r="16" spans="2:2" x14ac:dyDescent="0.25">
      <c r="B16" s="59" t="s">
        <v>181</v>
      </c>
    </row>
    <row r="17" spans="2:2" x14ac:dyDescent="0.25">
      <c r="B17" s="59" t="s">
        <v>172</v>
      </c>
    </row>
    <row r="19" spans="2:2" x14ac:dyDescent="0.25">
      <c r="B19" s="181" t="s">
        <v>182</v>
      </c>
    </row>
    <row r="20" spans="2:2" x14ac:dyDescent="0.25">
      <c r="B20" s="59" t="s">
        <v>175</v>
      </c>
    </row>
    <row r="21" spans="2:2" x14ac:dyDescent="0.25">
      <c r="B21" s="59" t="s">
        <v>183</v>
      </c>
    </row>
    <row r="22" spans="2:2" x14ac:dyDescent="0.25">
      <c r="B22" s="59" t="s">
        <v>186</v>
      </c>
    </row>
    <row r="23" spans="2:2" x14ac:dyDescent="0.25">
      <c r="B23" s="59" t="s">
        <v>176</v>
      </c>
    </row>
    <row r="24" spans="2:2" x14ac:dyDescent="0.25">
      <c r="B24" s="59" t="s">
        <v>174</v>
      </c>
    </row>
    <row r="25" spans="2:2" x14ac:dyDescent="0.25">
      <c r="B25" s="59" t="s">
        <v>179</v>
      </c>
    </row>
    <row r="26" spans="2:2" x14ac:dyDescent="0.25">
      <c r="B26" s="59" t="s">
        <v>177</v>
      </c>
    </row>
    <row r="27" spans="2:2" x14ac:dyDescent="0.25">
      <c r="B27" s="59" t="s">
        <v>189</v>
      </c>
    </row>
    <row r="28" spans="2:2" x14ac:dyDescent="0.25">
      <c r="B28" s="59" t="s">
        <v>190</v>
      </c>
    </row>
    <row r="29" spans="2:2" x14ac:dyDescent="0.25">
      <c r="B29" t="s">
        <v>173</v>
      </c>
    </row>
    <row r="30" spans="2:2" ht="15.75" x14ac:dyDescent="0.25">
      <c r="B30" s="182" t="s">
        <v>187</v>
      </c>
    </row>
    <row r="31" spans="2:2" x14ac:dyDescent="0.25">
      <c r="B31" s="183" t="s">
        <v>188</v>
      </c>
    </row>
  </sheetData>
  <pageMargins left="0.25" right="0.25" top="0.75" bottom="0.75" header="0.3" footer="0.3"/>
  <pageSetup paperSize="9" orientation="portrait" r:id="rId1"/>
  <headerFooter>
    <oddHeader xml:space="preserve">&amp;L&amp;K002060          &amp;G
Carisbrooke Shipping&amp;C&amp;"-,Bold"&amp;16&amp;K002060Ship's Certificate Status Index&amp;R&amp;8&amp;K002060Form Code: SCSI
Issue No: 2 - 07/16
Amend No: 3 - 07/18 </oddHead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N62"/>
  <sheetViews>
    <sheetView showGridLines="0" zoomScale="110" zoomScaleNormal="110" workbookViewId="0">
      <pane ySplit="10" topLeftCell="A20" activePane="bottomLeft" state="frozen"/>
      <selection pane="bottomLeft" activeCell="L22" sqref="L22"/>
    </sheetView>
  </sheetViews>
  <sheetFormatPr defaultRowHeight="15" x14ac:dyDescent="0.25"/>
  <cols>
    <col min="1" max="1" width="1.28515625" customWidth="1"/>
    <col min="2" max="2" width="4.7109375" customWidth="1"/>
    <col min="3" max="3" width="35.7109375" customWidth="1"/>
    <col min="4" max="6" width="12.7109375" customWidth="1"/>
    <col min="7" max="7" width="12.7109375" style="10" customWidth="1"/>
    <col min="8" max="8" width="13" style="10" hidden="1" customWidth="1"/>
    <col min="9" max="10" width="10.7109375" customWidth="1"/>
    <col min="11" max="11" width="10.7109375" style="22" customWidth="1"/>
    <col min="12" max="12" width="30.5703125" style="10" customWidth="1"/>
    <col min="13" max="13" width="10.85546875" bestFit="1" customWidth="1"/>
    <col min="14" max="14" width="14.7109375" customWidth="1"/>
  </cols>
  <sheetData>
    <row r="1" spans="2:14" ht="7.5" customHeight="1" thickBot="1" x14ac:dyDescent="0.3"/>
    <row r="2" spans="2:14" ht="15.95" customHeight="1" x14ac:dyDescent="0.25">
      <c r="B2" s="36"/>
      <c r="C2" s="200" t="s">
        <v>82</v>
      </c>
      <c r="D2" s="201"/>
      <c r="E2" s="201"/>
      <c r="F2" s="202"/>
      <c r="G2" s="42"/>
      <c r="H2" s="43"/>
      <c r="J2" s="193"/>
      <c r="K2" s="193"/>
    </row>
    <row r="3" spans="2:14" ht="15.95" customHeight="1" x14ac:dyDescent="0.25">
      <c r="B3" s="37"/>
      <c r="C3" s="197" t="s">
        <v>140</v>
      </c>
      <c r="D3" s="198"/>
      <c r="E3" s="198"/>
      <c r="F3" s="199"/>
      <c r="G3" s="35"/>
      <c r="H3" s="34"/>
      <c r="J3" s="185"/>
      <c r="K3" s="185"/>
    </row>
    <row r="4" spans="2:14" ht="15.95" customHeight="1" x14ac:dyDescent="0.25">
      <c r="B4" s="38"/>
      <c r="C4" s="194" t="s">
        <v>72</v>
      </c>
      <c r="D4" s="195"/>
      <c r="E4" s="195"/>
      <c r="F4" s="196"/>
      <c r="K4" s="44"/>
    </row>
    <row r="5" spans="2:14" ht="15.95" customHeight="1" x14ac:dyDescent="0.25">
      <c r="B5" s="48"/>
      <c r="C5" s="203" t="s">
        <v>145</v>
      </c>
      <c r="D5" s="204"/>
      <c r="E5" s="204"/>
      <c r="F5" s="205"/>
      <c r="K5" s="119"/>
    </row>
    <row r="6" spans="2:14" ht="15.95" customHeight="1" x14ac:dyDescent="0.25">
      <c r="B6" s="39"/>
      <c r="C6" s="194" t="s">
        <v>100</v>
      </c>
      <c r="D6" s="195"/>
      <c r="E6" s="195"/>
      <c r="F6" s="196"/>
      <c r="I6" s="60" t="s">
        <v>132</v>
      </c>
      <c r="J6" s="115"/>
      <c r="K6" s="47"/>
    </row>
    <row r="7" spans="2:14" ht="15.95" customHeight="1" x14ac:dyDescent="0.25">
      <c r="B7" s="40"/>
      <c r="C7" s="194" t="s">
        <v>101</v>
      </c>
      <c r="D7" s="195"/>
      <c r="E7" s="195"/>
      <c r="F7" s="196"/>
    </row>
    <row r="8" spans="2:14" ht="15.95" customHeight="1" thickBot="1" x14ac:dyDescent="0.3">
      <c r="B8" s="41"/>
      <c r="C8" s="186" t="s">
        <v>73</v>
      </c>
      <c r="D8" s="187"/>
      <c r="E8" s="187"/>
      <c r="F8" s="188"/>
      <c r="G8" s="190" t="s">
        <v>83</v>
      </c>
      <c r="H8" s="191"/>
      <c r="I8" s="192"/>
      <c r="J8" s="189" t="s">
        <v>84</v>
      </c>
      <c r="K8" s="189"/>
    </row>
    <row r="9" spans="2:14" ht="7.5" customHeight="1" thickBot="1" x14ac:dyDescent="0.3"/>
    <row r="10" spans="2:14" ht="60" customHeight="1" thickBot="1" x14ac:dyDescent="0.3">
      <c r="B10" s="9" t="s">
        <v>0</v>
      </c>
      <c r="C10" s="7" t="s">
        <v>134</v>
      </c>
      <c r="D10" s="8" t="s">
        <v>78</v>
      </c>
      <c r="E10" s="8" t="s">
        <v>79</v>
      </c>
      <c r="F10" s="8" t="s">
        <v>112</v>
      </c>
      <c r="G10" s="8" t="s">
        <v>162</v>
      </c>
      <c r="H10" s="52" t="s">
        <v>81</v>
      </c>
      <c r="I10" s="8" t="s">
        <v>107</v>
      </c>
      <c r="J10" s="8" t="s">
        <v>110</v>
      </c>
      <c r="K10" s="8" t="s">
        <v>111</v>
      </c>
      <c r="L10" s="8" t="s">
        <v>80</v>
      </c>
    </row>
    <row r="11" spans="2:14" ht="50.1" customHeight="1" x14ac:dyDescent="0.25">
      <c r="B11" s="4">
        <v>1</v>
      </c>
      <c r="C11" s="162" t="s">
        <v>1</v>
      </c>
      <c r="D11" s="141"/>
      <c r="E11" s="113"/>
      <c r="F11" s="28" t="s">
        <v>61</v>
      </c>
      <c r="G11" s="28" t="str">
        <f>IF(ISBLANK($E11),"Enter issue &amp; expiry",$E11)</f>
        <v>Enter issue &amp; expiry</v>
      </c>
      <c r="H11" s="28" t="str">
        <f>IF(ISBLANK($E11),"Enter issue &amp; expiry",$E11)</f>
        <v>Enter issue &amp; expiry</v>
      </c>
      <c r="I11" s="13" t="s">
        <v>61</v>
      </c>
      <c r="J11" s="13" t="s">
        <v>61</v>
      </c>
      <c r="K11" s="20" t="s">
        <v>61</v>
      </c>
      <c r="L11" s="94" t="s">
        <v>85</v>
      </c>
    </row>
    <row r="12" spans="2:14" ht="50.1" customHeight="1" x14ac:dyDescent="0.25">
      <c r="B12" s="2">
        <v>2</v>
      </c>
      <c r="C12" s="163" t="s">
        <v>2</v>
      </c>
      <c r="D12" s="142"/>
      <c r="E12" s="107"/>
      <c r="F12" s="107"/>
      <c r="G12" s="24" t="str">
        <f>IF(ISBLANK($E12),"Enter issue &amp; expiry",IF(E12="N/A", "N/A",IF(F12="N/A", H12, IF($F12&gt;=DATE(YEAR($H12), MONTH($H12)-$K12,DAY($H12)),DATE(YEAR($H12),MONTH($H12)+$J12,DAY($H12)),$H12))))</f>
        <v>Enter issue &amp; expiry</v>
      </c>
      <c r="H12" s="29" t="str">
        <f ca="1">IF(ISBLANK($E12),"Enter issue &amp; expiry",IF($E12="N/A", "N/A", IF(TODAY()&lt;DATE(YEAR($E12),MONTH($E12)-24,DAY($E12)),DATE(YEAR($E12),MONTH($E12)-30,DAY($E12)), IF(TODAY()&gt;DATE(YEAR($E12),MONTH($E12)-24,DAY($E12)), $E12,$E12))))</f>
        <v>Enter issue &amp; expiry</v>
      </c>
      <c r="I12" s="14">
        <v>60</v>
      </c>
      <c r="J12" s="15">
        <v>30</v>
      </c>
      <c r="K12" s="49">
        <v>6</v>
      </c>
      <c r="L12" s="96"/>
    </row>
    <row r="13" spans="2:14" ht="50.1" customHeight="1" x14ac:dyDescent="0.25">
      <c r="B13" s="2">
        <v>3</v>
      </c>
      <c r="C13" s="55" t="s">
        <v>3</v>
      </c>
      <c r="D13" s="143"/>
      <c r="E13" s="91"/>
      <c r="F13" s="30" t="s">
        <v>61</v>
      </c>
      <c r="G13" s="24" t="str">
        <f>H13</f>
        <v>Enter issue &amp; expiry</v>
      </c>
      <c r="H13" s="31" t="str">
        <f>IF(AND(ISBLANK($D13),ISBLANK($E13)),"Enter issue &amp; expiry",IF(E13="N/A", "N/A",IF(ISBLANK($E13),DATE(YEAR($D13),MONTH($D13)+$I13,DAY($D13)),$E13)))</f>
        <v>Enter issue &amp; expiry</v>
      </c>
      <c r="I13" s="16">
        <v>60</v>
      </c>
      <c r="J13" s="17" t="s">
        <v>61</v>
      </c>
      <c r="K13" s="21" t="s">
        <v>61</v>
      </c>
      <c r="L13" s="95"/>
      <c r="N13" s="6"/>
    </row>
    <row r="14" spans="2:14" ht="50.1" customHeight="1" x14ac:dyDescent="0.25">
      <c r="B14" s="2" t="s">
        <v>86</v>
      </c>
      <c r="C14" s="55" t="s">
        <v>4</v>
      </c>
      <c r="D14" s="142"/>
      <c r="E14" s="107"/>
      <c r="F14" s="107"/>
      <c r="G14" s="24" t="str">
        <f>IF(ISBLANK($E14),"Enter issue &amp; expiry",IF(E14="N/A", "N/A",IF(F14="N/A", H14,IF($F14&gt;=DATE(YEAR($H14), MONTH($H14)-$K14,DAY($H14)),DATE(YEAR($H14),MONTH($H14)+$J14,DAY($H14)),$H14))))</f>
        <v>Enter issue &amp; expiry</v>
      </c>
      <c r="H14" s="31" t="str">
        <f ca="1">IF(ISBLANK(E14),"Enter issue &amp; expiry",IF(E14="N/A", "N/A",IF(TODAY()&lt;DATE(YEAR(E14),MONTH(E14)-45,DAY(E14)),DATE(YEAR(E14),MONTH(E14)-48,DAY(E14)),IF(TODAY()&lt;DATE(YEAR(E14),MONTH(E14)-33,DAY(E14)),DATE(YEAR(E14),MONTH(E14)-36,DAY(E14)),IF(TODAY()&lt;DATE(YEAR(E14),MONTH(E14)-21,DAY(E14)),DATE(YEAR(E14),MONTH(E14)-24,DAY(E14)),IF(TODAY()&lt;DATE(YEAR(E14),MONTH(E14)-9,DAY(E14)),DATE(YEAR(E14),MONTH(E14)-12,DAY(E14)),IF(TODAY()&gt;DATE(YEAR(E14),MONTH(E14)-9,DAY(E14)),E14,E14)))))))</f>
        <v>Enter issue &amp; expiry</v>
      </c>
      <c r="I14" s="16">
        <v>60</v>
      </c>
      <c r="J14" s="17">
        <v>12</v>
      </c>
      <c r="K14" s="21">
        <v>3</v>
      </c>
      <c r="L14" s="114"/>
    </row>
    <row r="15" spans="2:14" ht="50.1" customHeight="1" x14ac:dyDescent="0.25">
      <c r="B15" s="2" t="s">
        <v>87</v>
      </c>
      <c r="C15" s="55" t="s">
        <v>5</v>
      </c>
      <c r="D15" s="143"/>
      <c r="E15" s="31" t="str">
        <f>F15</f>
        <v>N/A</v>
      </c>
      <c r="F15" s="31" t="str">
        <f t="shared" ref="F15" si="0">G15</f>
        <v>N/A</v>
      </c>
      <c r="G15" s="31" t="s">
        <v>61</v>
      </c>
      <c r="H15" s="31" t="str">
        <f>I15</f>
        <v>N/A</v>
      </c>
      <c r="I15" s="16" t="s">
        <v>61</v>
      </c>
      <c r="J15" s="17" t="s">
        <v>61</v>
      </c>
      <c r="K15" s="21" t="s">
        <v>61</v>
      </c>
      <c r="L15" s="95"/>
    </row>
    <row r="16" spans="2:14" ht="50.1" customHeight="1" x14ac:dyDescent="0.25">
      <c r="B16" s="2">
        <v>5</v>
      </c>
      <c r="C16" s="55" t="s">
        <v>6</v>
      </c>
      <c r="D16" s="143"/>
      <c r="E16" s="91"/>
      <c r="F16" s="91"/>
      <c r="G16" s="24" t="str">
        <f>IF(ISBLANK($E16),"Enter issue &amp; expiry",IF(E16="N/A", "N/A", IF(F16="N/A", H16,IF($F16&gt;=DATE(YEAR($H16), MONTH($H16)-$K16,DAY($H16)),DATE(YEAR($H16),MONTH($H16)+$J16,DAY($H16)),$H16))))</f>
        <v>Enter issue &amp; expiry</v>
      </c>
      <c r="H16" s="29" t="str">
        <f ca="1">IF(ISBLANK($E16),"Enter issue &amp; expiry",IF($E16="N/A", "N/A",IF(TODAY()&lt;DATE(YEAR($E16),MONTH($E16)-24,DAY($E16)),DATE(YEAR($E16),MONTH($E16)-30,DAY($E16)), IF(TODAY()&gt;DATE(YEAR($E16),MONTH($E16)-24,DAY($E16)), $E16,$E16))))</f>
        <v>Enter issue &amp; expiry</v>
      </c>
      <c r="I16" s="16">
        <v>60</v>
      </c>
      <c r="J16" s="17">
        <v>30</v>
      </c>
      <c r="K16" s="21">
        <v>6</v>
      </c>
      <c r="L16" s="95"/>
      <c r="M16" s="6"/>
      <c r="N16" s="6"/>
    </row>
    <row r="17" spans="2:13" ht="50.1" customHeight="1" x14ac:dyDescent="0.25">
      <c r="B17" s="2">
        <v>6</v>
      </c>
      <c r="C17" s="55" t="s">
        <v>7</v>
      </c>
      <c r="D17" s="143"/>
      <c r="E17" s="91"/>
      <c r="F17" s="91"/>
      <c r="G17" s="24" t="str">
        <f>IF(ISBLANK($E17),"Enter issue &amp; expiry",IF(E17="N/A", "N/A", IF(F17="N/A", H17, IF($F17&gt;=DATE(YEAR($H17), MONTH($H17)-$K17,DAY($H17)),DATE(YEAR($H17),MONTH($H17)+$J17,DAY($H17)),$H17))))</f>
        <v>Enter issue &amp; expiry</v>
      </c>
      <c r="H17" s="29" t="str">
        <f ca="1">IF(ISBLANK($E17),"Enter issue &amp; expiry",IF($E17="N/A", "N/A", IF(TODAY()&lt;DATE(YEAR($E17),MONTH($E17)-24,DAY($E17)),DATE(YEAR($E17),MONTH($E17)-30,DAY($E17)), IF(TODAY()&gt;DATE(YEAR($E17),MONTH($E17)-24,DAY($E17)), $E17,$E17))))</f>
        <v>Enter issue &amp; expiry</v>
      </c>
      <c r="I17" s="16">
        <v>60</v>
      </c>
      <c r="J17" s="17">
        <v>30</v>
      </c>
      <c r="K17" s="21">
        <v>6</v>
      </c>
      <c r="L17" s="95"/>
    </row>
    <row r="18" spans="2:13" ht="50.1" customHeight="1" x14ac:dyDescent="0.25">
      <c r="B18" s="2">
        <v>7</v>
      </c>
      <c r="C18" s="55" t="s">
        <v>133</v>
      </c>
      <c r="D18" s="143"/>
      <c r="E18" s="31" t="s">
        <v>61</v>
      </c>
      <c r="F18" s="31" t="s">
        <v>61</v>
      </c>
      <c r="G18" s="31" t="s">
        <v>61</v>
      </c>
      <c r="H18" s="31" t="s">
        <v>61</v>
      </c>
      <c r="I18" s="16" t="s">
        <v>61</v>
      </c>
      <c r="J18" s="17" t="s">
        <v>61</v>
      </c>
      <c r="K18" s="21" t="s">
        <v>61</v>
      </c>
      <c r="L18" s="122" t="s">
        <v>147</v>
      </c>
    </row>
    <row r="19" spans="2:13" ht="50.1" customHeight="1" x14ac:dyDescent="0.25">
      <c r="B19" s="2" t="s">
        <v>88</v>
      </c>
      <c r="C19" s="55" t="s">
        <v>8</v>
      </c>
      <c r="D19" s="143"/>
      <c r="E19" s="91"/>
      <c r="F19" s="91"/>
      <c r="G19" s="24" t="str">
        <f>IF(ISBLANK($E19),"Enter issue &amp; expiry",IF(E19="N/A", "N/A",IF(F19="N/A", H19,IF($F19&gt;=DATE(YEAR($H19), MONTH($H19)-$K19,DAY($H19)),DATE(YEAR($H19),MONTH($H19)+$J19,DAY($H19)),$H19))))</f>
        <v>Enter issue &amp; expiry</v>
      </c>
      <c r="H19" s="29" t="str">
        <f ca="1">IF(ISBLANK($E19),"Enter issue &amp; expiry",IF(E19="N/A", "N/A", IF(TODAY()&lt;DATE(YEAR($E19),MONTH($E19)-24,DAY($E19)),DATE(YEAR($E19),MONTH($E19)-30,DAY($E19)), IF(TODAY()&gt;DATE(YEAR($E19),MONTH($E19)-24,DAY($E19)), $E19,$E19))))</f>
        <v>Enter issue &amp; expiry</v>
      </c>
      <c r="I19" s="16">
        <v>60</v>
      </c>
      <c r="J19" s="17">
        <v>30</v>
      </c>
      <c r="K19" s="21">
        <v>6</v>
      </c>
      <c r="L19" s="95"/>
    </row>
    <row r="20" spans="2:13" ht="50.1" customHeight="1" x14ac:dyDescent="0.25">
      <c r="B20" s="2" t="s">
        <v>89</v>
      </c>
      <c r="C20" s="55" t="s">
        <v>9</v>
      </c>
      <c r="D20" s="143"/>
      <c r="E20" s="31" t="str">
        <f>F20</f>
        <v>N/A</v>
      </c>
      <c r="F20" s="31" t="str">
        <f t="shared" ref="F20:F21" si="1">G20</f>
        <v>N/A</v>
      </c>
      <c r="G20" s="31" t="str">
        <f t="shared" ref="G20:G21" si="2">H20</f>
        <v>N/A</v>
      </c>
      <c r="H20" s="31" t="str">
        <f>I20</f>
        <v>N/A</v>
      </c>
      <c r="I20" s="16" t="s">
        <v>61</v>
      </c>
      <c r="J20" s="17" t="s">
        <v>61</v>
      </c>
      <c r="K20" s="21" t="s">
        <v>61</v>
      </c>
      <c r="L20" s="95"/>
    </row>
    <row r="21" spans="2:13" ht="50.1" customHeight="1" x14ac:dyDescent="0.25">
      <c r="B21" s="2" t="s">
        <v>90</v>
      </c>
      <c r="C21" s="55" t="s">
        <v>10</v>
      </c>
      <c r="D21" s="143"/>
      <c r="E21" s="31" t="str">
        <f t="shared" ref="E21" si="3">F21</f>
        <v>N/A</v>
      </c>
      <c r="F21" s="31" t="str">
        <f t="shared" si="1"/>
        <v>N/A</v>
      </c>
      <c r="G21" s="31" t="str">
        <f t="shared" si="2"/>
        <v>N/A</v>
      </c>
      <c r="H21" s="31" t="str">
        <f>I21</f>
        <v>N/A</v>
      </c>
      <c r="I21" s="16" t="s">
        <v>61</v>
      </c>
      <c r="J21" s="17" t="s">
        <v>61</v>
      </c>
      <c r="K21" s="21" t="s">
        <v>61</v>
      </c>
      <c r="L21" s="95"/>
    </row>
    <row r="22" spans="2:13" ht="50.1" customHeight="1" x14ac:dyDescent="0.25">
      <c r="B22" s="2">
        <v>9</v>
      </c>
      <c r="C22" s="55" t="s">
        <v>11</v>
      </c>
      <c r="D22" s="143"/>
      <c r="E22" s="91"/>
      <c r="F22" s="30" t="s">
        <v>61</v>
      </c>
      <c r="G22" s="31" t="str">
        <f>H22</f>
        <v>Enter issue &amp; expiry</v>
      </c>
      <c r="H22" s="31" t="str">
        <f>IF(ISBLANK($E22),"Enter issue &amp; expiry",$E22)</f>
        <v>Enter issue &amp; expiry</v>
      </c>
      <c r="I22" s="16" t="s">
        <v>61</v>
      </c>
      <c r="J22" s="17" t="s">
        <v>61</v>
      </c>
      <c r="K22" s="21" t="s">
        <v>61</v>
      </c>
      <c r="L22" s="95" t="s">
        <v>99</v>
      </c>
      <c r="M22" s="50"/>
    </row>
    <row r="23" spans="2:13" ht="50.1" customHeight="1" x14ac:dyDescent="0.25">
      <c r="B23" s="2">
        <v>10</v>
      </c>
      <c r="C23" s="55" t="s">
        <v>138</v>
      </c>
      <c r="D23" s="143"/>
      <c r="E23" s="91"/>
      <c r="F23" s="30" t="s">
        <v>61</v>
      </c>
      <c r="G23" s="31" t="str">
        <f>H23</f>
        <v>Enter issue &amp; expiry</v>
      </c>
      <c r="H23" s="31" t="str">
        <f>IF(AND(ISBLANK($D23),ISBLANK($E23)),"Enter issue &amp; expiry",IF(ISBLANK($E23),DATE(YEAR($D23),MONTH($D23)+$I23,DAY($D23)),$E23))</f>
        <v>Enter issue &amp; expiry</v>
      </c>
      <c r="I23" s="16">
        <v>12</v>
      </c>
      <c r="J23" s="17" t="s">
        <v>61</v>
      </c>
      <c r="K23" s="21" t="s">
        <v>61</v>
      </c>
      <c r="L23" s="95"/>
    </row>
    <row r="24" spans="2:13" ht="50.1" customHeight="1" x14ac:dyDescent="0.25">
      <c r="B24" s="2">
        <v>11</v>
      </c>
      <c r="C24" s="55" t="s">
        <v>12</v>
      </c>
      <c r="D24" s="143"/>
      <c r="E24" s="91"/>
      <c r="F24" s="30" t="s">
        <v>61</v>
      </c>
      <c r="G24" s="31" t="str">
        <f>H24</f>
        <v>Enter issue &amp; expiry</v>
      </c>
      <c r="H24" s="31" t="str">
        <f>IF(AND(ISBLANK($D24),ISBLANK($E24)),"Enter issue &amp; expiry",IF(ISBLANK($E24),DATE(YEAR($D24),MONTH($D24)+$I24,DAY($D24)),$E24))</f>
        <v>Enter issue &amp; expiry</v>
      </c>
      <c r="I24" s="16">
        <v>12</v>
      </c>
      <c r="J24" s="17" t="s">
        <v>61</v>
      </c>
      <c r="K24" s="21" t="s">
        <v>61</v>
      </c>
      <c r="L24" s="95"/>
    </row>
    <row r="25" spans="2:13" ht="50.1" customHeight="1" x14ac:dyDescent="0.25">
      <c r="B25" s="139">
        <v>12</v>
      </c>
      <c r="C25" s="55" t="s">
        <v>93</v>
      </c>
      <c r="D25" s="143"/>
      <c r="E25" s="91"/>
      <c r="F25" s="91"/>
      <c r="G25" s="24" t="str">
        <f>IF(ISBLANK(E25),"Enter issue &amp; expiry",IF(E25="N/A", "N/A",IF(F25="N/A", H25, IF(F25&gt;=DATE(YEAR(H25), MONTH(H25)-$K25,DAY(H25)),DATE(YEAR(H25),MONTH(H25)+J25,DAY(H25)),H25))))</f>
        <v>Enter issue &amp; expiry</v>
      </c>
      <c r="H25" s="31" t="str">
        <f ca="1">IF(ISBLANK(E25),"Enter issue &amp; expiry",IF(E25="N/A", "N/A",IF(TODAY()&lt;DATE(YEAR(E25),MONTH(E25)-45,DAY(E25)),DATE(YEAR(E25),MONTH(E25)-48,DAY(E25)),IF(TODAY()&lt;DATE(YEAR(E25),MONTH(E25)-33,DAY(E25)),DATE(YEAR(E25),MONTH(E25)-36,DAY(E25)),IF(TODAY()&lt;DATE(YEAR(E25),MONTH(E25)-21,DAY(E25)),DATE(YEAR(E25),MONTH(E25)-24,DAY(E25)),IF(TODAY()&lt;DATE(YEAR(E25),MONTH(E25)-9,DAY(E25)),DATE(YEAR(E25),MONTH(E25)-12,DAY(E25)),IF(TODAY()&gt;DATE(YEAR(E25),MONTH(E25)-9,DAY(E25)),E25,E25)))))))</f>
        <v>Enter issue &amp; expiry</v>
      </c>
      <c r="I25" s="16">
        <v>60</v>
      </c>
      <c r="J25" s="17">
        <v>12</v>
      </c>
      <c r="K25" s="21">
        <v>3</v>
      </c>
      <c r="L25" s="95"/>
    </row>
    <row r="26" spans="2:13" ht="50.1" customHeight="1" x14ac:dyDescent="0.25">
      <c r="B26" s="139">
        <v>12</v>
      </c>
      <c r="C26" s="55" t="s">
        <v>98</v>
      </c>
      <c r="D26" s="143"/>
      <c r="E26" s="91"/>
      <c r="F26" s="25" t="s">
        <v>61</v>
      </c>
      <c r="G26" s="24" t="str">
        <f>H26</f>
        <v>Enter issue &amp; expiry</v>
      </c>
      <c r="H26" s="31" t="str">
        <f>IF(AND(ISBLANK($D26),ISBLANK($E26)),"Enter issue &amp; expiry",IF(E26="N/A", "N/A",IF(OR($D26="N/A",$E26="N/A"),"N/A",IF(ISBLANK($D26),DATE(YEAR($E26),MONTH($E26),DAY($E26)), IF(ISBLANK($I26),"Enter expiry interval in colummn I",DATE(YEAR($D26),MONTH($D26)+$I26,DAY($D26)))))))</f>
        <v>Enter issue &amp; expiry</v>
      </c>
      <c r="I26" s="16">
        <v>6</v>
      </c>
      <c r="J26" s="17" t="s">
        <v>61</v>
      </c>
      <c r="K26" s="21" t="s">
        <v>61</v>
      </c>
      <c r="L26" s="95" t="s">
        <v>106</v>
      </c>
    </row>
    <row r="27" spans="2:13" ht="50.1" customHeight="1" x14ac:dyDescent="0.25">
      <c r="B27" s="2">
        <v>13</v>
      </c>
      <c r="C27" s="55" t="s">
        <v>13</v>
      </c>
      <c r="D27" s="143"/>
      <c r="E27" s="91"/>
      <c r="F27" s="91"/>
      <c r="G27" s="24" t="str">
        <f>IF(ISBLANK(E27),"Enter issue &amp; expiry",IF(E27="N/A", "N/A",IF(F27="N/A", H27, IF(F27&gt;=DATE(YEAR(H27), MONTH(H27)-$K27,DAY(H27)),DATE(YEAR(H27),MONTH(H27)+J27,DAY(H27)),H27))))</f>
        <v>Enter issue &amp; expiry</v>
      </c>
      <c r="H27" s="31" t="str">
        <f ca="1">IF(ISBLANK(E27),"Enter issue &amp; expiry",IF(E27="N/A", "N/A",IF(TODAY()&lt;DATE(YEAR(E27),MONTH(E27)-45,DAY(E27)),DATE(YEAR(E27),MONTH(E27)-48,DAY(E27)),IF(TODAY()&lt;DATE(YEAR(E27),MONTH(E27)-33,DAY(E27)),DATE(YEAR(E27),MONTH(E27)-36,DAY(E27)),IF(TODAY()&lt;DATE(YEAR(E27),MONTH(E27)-21,DAY(E27)),DATE(YEAR(E27),MONTH(E27)-24,DAY(E27)),IF(TODAY()&lt;DATE(YEAR(E27),MONTH(E27)-9,DAY(E27)),DATE(YEAR(E27),MONTH(E27)-12,DAY(E27)),IF(TODAY()&gt;DATE(YEAR(E27),MONTH(E27)-9,DAY(E27)),E27,E27)))))))</f>
        <v>Enter issue &amp; expiry</v>
      </c>
      <c r="I27" s="16">
        <v>60</v>
      </c>
      <c r="J27" s="17">
        <v>12</v>
      </c>
      <c r="K27" s="21">
        <v>3</v>
      </c>
      <c r="L27" s="95"/>
    </row>
    <row r="28" spans="2:13" ht="50.1" customHeight="1" x14ac:dyDescent="0.25">
      <c r="B28" s="2">
        <v>14</v>
      </c>
      <c r="C28" s="55" t="s">
        <v>14</v>
      </c>
      <c r="D28" s="143"/>
      <c r="E28" s="31" t="str">
        <f t="shared" ref="E28" si="4">F28</f>
        <v>N/A</v>
      </c>
      <c r="F28" s="31" t="s">
        <v>61</v>
      </c>
      <c r="G28" s="31" t="str">
        <f>H28</f>
        <v>N/A</v>
      </c>
      <c r="H28" s="31" t="str">
        <f>I28</f>
        <v>N/A</v>
      </c>
      <c r="I28" s="16" t="s">
        <v>61</v>
      </c>
      <c r="J28" s="17" t="s">
        <v>61</v>
      </c>
      <c r="K28" s="21" t="s">
        <v>61</v>
      </c>
      <c r="L28" s="95"/>
    </row>
    <row r="29" spans="2:13" ht="50.1" customHeight="1" x14ac:dyDescent="0.25">
      <c r="B29" s="172" t="s">
        <v>166</v>
      </c>
      <c r="C29" s="168" t="s">
        <v>15</v>
      </c>
      <c r="D29" s="174"/>
      <c r="E29" s="175"/>
      <c r="F29" s="175"/>
      <c r="G29" s="169" t="str">
        <f>IF(ISBLANK($E29),"Enter issue &amp; expiry",IF(E29="N/A", "N/A",IF(F29="N/A", H29,IF(($F29&gt;=DATE(YEAR($H29),MONTH($H29)-$K29,DAY($H29))),DATE(YEAR($H29),MONTH($H29)+$J29,DAY($H29)),$H29))))</f>
        <v>Enter issue &amp; expiry</v>
      </c>
      <c r="H29" s="170" t="str">
        <f ca="1">IF(ISBLANK($E29),"Enter issue &amp; expiry",IF(E29="N/A", "N/A",IF(TODAY()&lt;DATE(YEAR($E29),MONTH($E29)-45,DAY($E29)),DATE(YEAR($E29),MONTH($E29)-48,DAY($E29)),IF(TODAY()&lt;DATE(YEAR($E29),MONTH($E29)-33,DAY($E29)),DATE(YEAR($E29),MONTH($E29)-36,DAY($E29)),IF(TODAY()&lt;DATE(YEAR($E29),MONTH($E29)-21,DAY($E29)),DATE(YEAR($E29),MONTH($E29)-24,DAY($E29)),IF(TODAY()&lt;DATE(YEAR($E29),MONTH($E29)-9,DAY($E29)),DATE(YEAR($E29),MONTH($E29)-12,DAY($E29)),IF(TODAY()&gt;DATE(YEAR($E29),MONTH($E29)-9,DAY($E29)),$E29,$E29)))))))</f>
        <v>Enter issue &amp; expiry</v>
      </c>
      <c r="I29" s="171">
        <v>60</v>
      </c>
      <c r="J29" s="21">
        <v>12</v>
      </c>
      <c r="K29" s="21">
        <v>3</v>
      </c>
      <c r="L29" s="179"/>
    </row>
    <row r="30" spans="2:13" ht="50.1" customHeight="1" x14ac:dyDescent="0.25">
      <c r="B30" s="172" t="s">
        <v>165</v>
      </c>
      <c r="C30" s="173" t="s">
        <v>167</v>
      </c>
      <c r="D30" s="174"/>
      <c r="E30" s="175"/>
      <c r="F30" s="175"/>
      <c r="G30" s="176" t="str">
        <f>IF(ISBLANK($E30),"Enter issue &amp; expiry",IF(E30="N/A", "N/A",IF(F30="N/A", H30,IF(($F30&gt;=DATE(YEAR($H30),MONTH($H30)-$K30,DAY($H30))),DATE(YEAR($H30),MONTH($H30)+$J30,DAY($H30)),$H30))))</f>
        <v>Enter issue &amp; expiry</v>
      </c>
      <c r="H30" s="170" t="str">
        <f ca="1">IF(ISBLANK($E30),"Enter issue &amp; expiry",IF(E30="N/A", "N/A",IF(TODAY()&lt;DATE(YEAR($E30),MONTH($E30)-45,DAY($E30)),DATE(YEAR($E30),MONTH($E30)-48,DAY($E30)),IF(TODAY()&lt;DATE(YEAR($E30),MONTH($E30)-33,DAY($E30)),DATE(YEAR($E30),MONTH($E30)-36,DAY($E30)),IF(TODAY()&lt;DATE(YEAR($E30),MONTH($E30)-21,DAY($E30)),DATE(YEAR($E30),MONTH($E30)-24,DAY($E30)),IF(TODAY()&lt;DATE(YEAR($E30),MONTH($E30)-9,DAY($E30)),DATE(YEAR($E30),MONTH($E30)-12,DAY($E30)),IF(TODAY()&gt;DATE(YEAR($E30),MONTH($E30)-9,DAY($E30)),$E30,$E30)))))))</f>
        <v>Enter issue &amp; expiry</v>
      </c>
      <c r="I30" s="177">
        <v>36</v>
      </c>
      <c r="J30" s="178">
        <v>24</v>
      </c>
      <c r="K30" s="178">
        <v>12</v>
      </c>
      <c r="L30" s="179" t="s">
        <v>168</v>
      </c>
    </row>
    <row r="31" spans="2:13" ht="50.1" customHeight="1" x14ac:dyDescent="0.25">
      <c r="B31" s="2">
        <v>16</v>
      </c>
      <c r="C31" s="55" t="s">
        <v>120</v>
      </c>
      <c r="D31" s="143"/>
      <c r="E31" s="91"/>
      <c r="F31" s="91"/>
      <c r="G31" s="24" t="str">
        <f>IF(ISBLANK($E31),"Enter issue &amp; expiry",IF(E31="N/A","N/A",IF(F31="N/A", H31,IF(($F31&gt;=DATE(YEAR($H31),MONTH($H31)-$K31,DAY($H31))),DATE(YEAR($H31),MONTH($H31)+$J31,DAY($H31)),$H31))))</f>
        <v>Enter issue &amp; expiry</v>
      </c>
      <c r="H31" s="31" t="str">
        <f ca="1">IF(ISBLANK($E31),"Enter issue &amp; expiry",IF(E31="N/A", "N/A",IF(TODAY()&lt;DATE(YEAR($E31),MONTH($E31)-45,DAY($E31)),DATE(YEAR($E31),MONTH($E31)-48,DAY($E31)),IF(TODAY()&lt;DATE(YEAR($E31),MONTH($E31)-33,DAY($E31)),DATE(YEAR($E31),MONTH($E31)-36,DAY($E31)),IF(TODAY()&lt;DATE(YEAR($E31),MONTH($E31)-21,DAY($E31)),DATE(YEAR($E31),MONTH($E31)-24,DAY($E31)),IF(TODAY()&lt;DATE(YEAR($E31),MONTH($E31)-9,DAY($E31)),DATE(YEAR($E31),MONTH($E31)-12,DAY($E31)),IF(TODAY()&gt;DATE(YEAR($E31),MONTH($E31)-9,DAY($E31)),$E31,$E31)))))))</f>
        <v>Enter issue &amp; expiry</v>
      </c>
      <c r="I31" s="16">
        <v>60</v>
      </c>
      <c r="J31" s="17">
        <v>12</v>
      </c>
      <c r="K31" s="21">
        <v>3</v>
      </c>
      <c r="L31" s="95"/>
    </row>
    <row r="32" spans="2:13" ht="50.1" customHeight="1" x14ac:dyDescent="0.25">
      <c r="B32" s="2">
        <v>16</v>
      </c>
      <c r="C32" s="55" t="s">
        <v>118</v>
      </c>
      <c r="D32" s="143"/>
      <c r="E32" s="112"/>
      <c r="F32" s="31" t="s">
        <v>61</v>
      </c>
      <c r="G32" s="31" t="str">
        <f>H32</f>
        <v>Enter issue &amp; expiry</v>
      </c>
      <c r="H32" s="31" t="str">
        <f>IF(ISBLANK($E32),"Enter issue &amp; expiry",$E32)</f>
        <v>Enter issue &amp; expiry</v>
      </c>
      <c r="I32" s="16" t="s">
        <v>61</v>
      </c>
      <c r="J32" s="17" t="s">
        <v>61</v>
      </c>
      <c r="K32" s="21" t="s">
        <v>61</v>
      </c>
      <c r="L32" s="95" t="s">
        <v>99</v>
      </c>
    </row>
    <row r="33" spans="2:14" ht="50.1" customHeight="1" x14ac:dyDescent="0.25">
      <c r="B33" s="2">
        <v>16</v>
      </c>
      <c r="C33" s="55" t="s">
        <v>119</v>
      </c>
      <c r="D33" s="143"/>
      <c r="E33" s="112"/>
      <c r="F33" s="31" t="s">
        <v>61</v>
      </c>
      <c r="G33" s="31" t="str">
        <f>H33</f>
        <v>Enter issue &amp; expiry</v>
      </c>
      <c r="H33" s="31" t="str">
        <f>IF(ISBLANK($E33),"Enter issue &amp; expiry",$E33)</f>
        <v>Enter issue &amp; expiry</v>
      </c>
      <c r="I33" s="16" t="s">
        <v>61</v>
      </c>
      <c r="J33" s="17" t="s">
        <v>61</v>
      </c>
      <c r="K33" s="21" t="s">
        <v>61</v>
      </c>
      <c r="L33" s="95" t="s">
        <v>99</v>
      </c>
    </row>
    <row r="34" spans="2:14" ht="50.1" customHeight="1" x14ac:dyDescent="0.25">
      <c r="B34" s="2">
        <v>17</v>
      </c>
      <c r="C34" s="55" t="s">
        <v>123</v>
      </c>
      <c r="D34" s="143"/>
      <c r="E34" s="91"/>
      <c r="F34" s="91"/>
      <c r="G34" s="24" t="str">
        <f>IF(ISBLANK($E34),"Enter issue &amp; expiry",IF(E34="N/A", "N/A",IF(F34="N/A", H34,IF(($F34&gt;=DATE(YEAR($H34),MONTH($H34)-$K34,DAY($H34))),DATE(YEAR($H34),MONTH($H34)+$J34,DAY($H34)),$H34))))</f>
        <v>Enter issue &amp; expiry</v>
      </c>
      <c r="H34" s="31" t="str">
        <f ca="1">IF(ISBLANK($E34),"Enter issue &amp; expiry",IF(E34="N/A", "N/A",IF(TODAY()&lt;DATE(YEAR($E34),MONTH($E34)-45,DAY($E34)),DATE(YEAR($E34),MONTH($E34)-48,DAY($E34)),IF(TODAY()&lt;DATE(YEAR($E34),MONTH($E34)-33,DAY($E34)),DATE(YEAR($E34),MONTH($E34)-36,DAY($E34)),IF(TODAY()&lt;DATE(YEAR($E34),MONTH($E34)-21,DAY($E34)),DATE(YEAR($E34),MONTH($E34)-24,DAY($E34)),IF(TODAY()&lt;DATE(YEAR($E34),MONTH($E34)-9,DAY($E34)),DATE(YEAR($E34),MONTH($E34)-12,DAY($E34)),IF(TODAY()&gt;DATE(YEAR($E34),MONTH($E34)-9,DAY($E34)),$E34,$E34)))))))</f>
        <v>Enter issue &amp; expiry</v>
      </c>
      <c r="I34" s="16">
        <v>60</v>
      </c>
      <c r="J34" s="17">
        <v>12</v>
      </c>
      <c r="K34" s="21">
        <v>3</v>
      </c>
      <c r="L34" s="95"/>
    </row>
    <row r="35" spans="2:14" ht="50.1" customHeight="1" x14ac:dyDescent="0.25">
      <c r="B35" s="2">
        <v>17</v>
      </c>
      <c r="C35" s="55" t="s">
        <v>124</v>
      </c>
      <c r="D35" s="143"/>
      <c r="E35" s="91"/>
      <c r="F35" s="31" t="s">
        <v>61</v>
      </c>
      <c r="G35" s="31" t="str">
        <f>IF(ISBLANK($E35),"Enter issue &amp; expiry",$E35)</f>
        <v>Enter issue &amp; expiry</v>
      </c>
      <c r="H35" s="31" t="str">
        <f>I35</f>
        <v>N/A</v>
      </c>
      <c r="I35" s="16" t="s">
        <v>61</v>
      </c>
      <c r="J35" s="17" t="s">
        <v>61</v>
      </c>
      <c r="K35" s="21" t="s">
        <v>61</v>
      </c>
      <c r="L35" s="95" t="s">
        <v>99</v>
      </c>
    </row>
    <row r="36" spans="2:14" ht="50.1" customHeight="1" x14ac:dyDescent="0.25">
      <c r="B36" s="2">
        <v>17</v>
      </c>
      <c r="C36" s="55" t="s">
        <v>125</v>
      </c>
      <c r="D36" s="143"/>
      <c r="E36" s="91"/>
      <c r="F36" s="31" t="s">
        <v>61</v>
      </c>
      <c r="G36" s="31" t="str">
        <f>IF(ISBLANK($E36),"Enter issue &amp; expiry",$E36)</f>
        <v>Enter issue &amp; expiry</v>
      </c>
      <c r="H36" s="31" t="str">
        <f>I36</f>
        <v>N/A</v>
      </c>
      <c r="I36" s="16" t="s">
        <v>61</v>
      </c>
      <c r="J36" s="17" t="s">
        <v>61</v>
      </c>
      <c r="K36" s="21" t="s">
        <v>61</v>
      </c>
      <c r="L36" s="95" t="s">
        <v>99</v>
      </c>
    </row>
    <row r="37" spans="2:14" ht="50.1" customHeight="1" x14ac:dyDescent="0.25">
      <c r="B37" s="2">
        <v>18</v>
      </c>
      <c r="C37" s="55" t="s">
        <v>121</v>
      </c>
      <c r="D37" s="143"/>
      <c r="E37" s="91"/>
      <c r="F37" s="91"/>
      <c r="G37" s="24" t="str">
        <f>IF(ISBLANK($E37),"Enter issue &amp; expiry",IF(E37="N/A","N/A",IF(F37="N/A",H37,IF(($F37&gt;=DATE(YEAR($H37),MONTH($H37)-$K37,DAY($H37))),DATE(YEAR($H37),MONTH($H37)+$J37,DAY($H37)),$H37))))</f>
        <v>Enter issue &amp; expiry</v>
      </c>
      <c r="H37" s="31" t="str">
        <f ca="1">IF(ISBLANK($E37),"Enter issue &amp; expiry",IF(E37="N/A", "N/A",IF(TODAY()&lt;DATE(YEAR($E37),MONTH($E37)-45,DAY($E37)),DATE(YEAR($E37),MONTH($E37)-48,DAY($E37)),IF(TODAY()&lt;DATE(YEAR($E37),MONTH($E37)-33,DAY($E37)),DATE(YEAR($E37),MONTH($E37)-36,DAY($E37)),IF(TODAY()&lt;DATE(YEAR($E37),MONTH($E37)-21,DAY($E37)),DATE(YEAR($E37),MONTH($E37)-24,DAY($E37)),IF(TODAY()&lt;DATE(YEAR($E37),MONTH($E37)-9,DAY($E37)),DATE(YEAR($E37),MONTH($E37)-12,DAY($E37)),IF(TODAY()&gt;DATE(YEAR($E37),MONTH($E37)-9,DAY($E37)),$E37,$E37)))))))</f>
        <v>Enter issue &amp; expiry</v>
      </c>
      <c r="I37" s="16">
        <v>60</v>
      </c>
      <c r="J37" s="17">
        <v>12</v>
      </c>
      <c r="K37" s="21">
        <v>3</v>
      </c>
      <c r="L37" s="95"/>
    </row>
    <row r="38" spans="2:14" ht="50.1" customHeight="1" x14ac:dyDescent="0.25">
      <c r="B38" s="2">
        <v>18</v>
      </c>
      <c r="C38" s="55" t="s">
        <v>122</v>
      </c>
      <c r="D38" s="143"/>
      <c r="E38" s="91"/>
      <c r="F38" s="31" t="s">
        <v>61</v>
      </c>
      <c r="G38" s="31" t="str">
        <f>H38</f>
        <v>Enter issue &amp; expiry</v>
      </c>
      <c r="H38" s="31" t="str">
        <f>IF(ISBLANK($E38),"Enter issue &amp; expiry",$E38)</f>
        <v>Enter issue &amp; expiry</v>
      </c>
      <c r="I38" s="16" t="s">
        <v>61</v>
      </c>
      <c r="J38" s="17" t="s">
        <v>61</v>
      </c>
      <c r="K38" s="21" t="s">
        <v>61</v>
      </c>
      <c r="L38" s="95" t="s">
        <v>99</v>
      </c>
    </row>
    <row r="39" spans="2:14" ht="50.1" customHeight="1" x14ac:dyDescent="0.25">
      <c r="B39" s="2">
        <v>19</v>
      </c>
      <c r="C39" s="55" t="s">
        <v>16</v>
      </c>
      <c r="D39" s="143"/>
      <c r="E39" s="91"/>
      <c r="F39" s="31" t="s">
        <v>61</v>
      </c>
      <c r="G39" s="24" t="str">
        <f>H39</f>
        <v>Enter issue &amp; expiry</v>
      </c>
      <c r="H39" s="31" t="str">
        <f>IF(AND(ISBLANK($D39),ISBLANK($E39)),"Enter issue &amp; expiry",IF(E39="N/A", "N/A",IF(ISBLANK($E39),DATE(YEAR($D39),MONTH($D39)+$I39,DAY($D39)),$E39)))</f>
        <v>Enter issue &amp; expiry</v>
      </c>
      <c r="I39" s="16">
        <v>60</v>
      </c>
      <c r="J39" s="17" t="s">
        <v>61</v>
      </c>
      <c r="K39" s="21" t="s">
        <v>61</v>
      </c>
      <c r="L39" s="95"/>
    </row>
    <row r="40" spans="2:14" ht="50.1" customHeight="1" x14ac:dyDescent="0.25">
      <c r="B40" s="2">
        <v>20</v>
      </c>
      <c r="C40" s="55" t="s">
        <v>102</v>
      </c>
      <c r="D40" s="143"/>
      <c r="E40" s="112"/>
      <c r="F40" s="31" t="s">
        <v>61</v>
      </c>
      <c r="G40" s="31" t="str">
        <f>IF(ISBLANK($E40),"Enter issue &amp; expiry",$E40)</f>
        <v>Enter issue &amp; expiry</v>
      </c>
      <c r="H40" s="31" t="str">
        <f>IF(ISBLANK($E40),"Enter issue &amp; expiry",$E40)</f>
        <v>Enter issue &amp; expiry</v>
      </c>
      <c r="I40" s="16" t="s">
        <v>61</v>
      </c>
      <c r="J40" s="17" t="s">
        <v>61</v>
      </c>
      <c r="K40" s="21" t="s">
        <v>61</v>
      </c>
      <c r="L40" s="95" t="s">
        <v>77</v>
      </c>
    </row>
    <row r="41" spans="2:14" ht="50.1" customHeight="1" x14ac:dyDescent="0.25">
      <c r="B41" s="2">
        <v>21</v>
      </c>
      <c r="C41" s="55" t="s">
        <v>164</v>
      </c>
      <c r="D41" s="143"/>
      <c r="E41" s="91"/>
      <c r="F41" s="91"/>
      <c r="G41" s="24" t="str">
        <f>IF(ISBLANK($E41),"Enter issue &amp; expiry",IF(E41="N/A", "N/A",IF(F41="N/A", H41,IF(($F41&gt;=DATE(YEAR($H41),MONTH($H41)-$K41,DAY($H41))),DATE(YEAR($H41),MONTH($H41)+$J41,DAY($H41)),$H41))))</f>
        <v>Enter issue &amp; expiry</v>
      </c>
      <c r="H41" s="31" t="str">
        <f ca="1">IF(ISBLANK($E41),"Enter issue &amp; expiry",IF(E41="N/A", "N/A",IF(TODAY()&lt;DATE(YEAR($E41),MONTH($E41)-45,DAY($E41)),DATE(YEAR($E41),MONTH($E41)-48,DAY($E41)),IF(TODAY()&lt;DATE(YEAR($E41),MONTH($E41)-33,DAY($E41)),DATE(YEAR($E41),MONTH($E41)-36,DAY($E41)),IF(TODAY()&lt;DATE(YEAR($E41),MONTH($E41)-21,DAY($E41)),DATE(YEAR($E41),MONTH($E41)-24,DAY($E41)),IF(TODAY()&lt;DATE(YEAR($E41),MONTH($E41)-9,DAY($E41)),DATE(YEAR($E41),MONTH($E41)-12,DAY($E41)),IF(TODAY()&gt;DATE(YEAR($E41),MONTH($E41)-9,DAY($E41)),$E41,$E41)))))))</f>
        <v>Enter issue &amp; expiry</v>
      </c>
      <c r="I41" s="16">
        <v>60</v>
      </c>
      <c r="J41" s="17">
        <v>12</v>
      </c>
      <c r="K41" s="21">
        <v>3</v>
      </c>
      <c r="L41" s="95"/>
    </row>
    <row r="42" spans="2:14" ht="50.1" customHeight="1" x14ac:dyDescent="0.25">
      <c r="B42" s="2">
        <v>21</v>
      </c>
      <c r="C42" s="55" t="s">
        <v>126</v>
      </c>
      <c r="D42" s="143"/>
      <c r="E42" s="91"/>
      <c r="F42" s="31" t="s">
        <v>61</v>
      </c>
      <c r="G42" s="31" t="str">
        <f>H42</f>
        <v>Enter issue &amp; expiry</v>
      </c>
      <c r="H42" s="31" t="str">
        <f>IF(OR(ISBLANK($D42),ISBLANK($E42)),"Enter issue &amp; expiry",$E42)</f>
        <v>Enter issue &amp; expiry</v>
      </c>
      <c r="I42" s="16" t="s">
        <v>61</v>
      </c>
      <c r="J42" s="17" t="s">
        <v>61</v>
      </c>
      <c r="K42" s="21" t="s">
        <v>61</v>
      </c>
      <c r="L42" s="95"/>
    </row>
    <row r="43" spans="2:14" ht="50.1" customHeight="1" x14ac:dyDescent="0.25">
      <c r="B43" s="2">
        <v>22</v>
      </c>
      <c r="C43" s="55" t="s">
        <v>17</v>
      </c>
      <c r="D43" s="143"/>
      <c r="E43" s="91"/>
      <c r="F43" s="31" t="s">
        <v>61</v>
      </c>
      <c r="G43" s="24" t="str">
        <f>H43</f>
        <v>Enter issue &amp; expiry</v>
      </c>
      <c r="H43" s="31" t="str">
        <f>IF(AND(ISBLANK($D43),ISBLANK($E43)),"Enter issue &amp; expiry",IF(ISBLANK($E43),DATE(YEAR($D43),MONTH($D43)+$I43,DAY($D43)),$E43))</f>
        <v>Enter issue &amp; expiry</v>
      </c>
      <c r="I43" s="16">
        <v>60</v>
      </c>
      <c r="J43" s="17" t="s">
        <v>61</v>
      </c>
      <c r="K43" s="21" t="s">
        <v>61</v>
      </c>
      <c r="L43" s="95"/>
    </row>
    <row r="44" spans="2:14" ht="50.1" customHeight="1" x14ac:dyDescent="0.25">
      <c r="B44" s="2">
        <v>23</v>
      </c>
      <c r="C44" s="55" t="s">
        <v>18</v>
      </c>
      <c r="D44" s="143"/>
      <c r="E44" s="31" t="s">
        <v>61</v>
      </c>
      <c r="F44" s="31" t="s">
        <v>61</v>
      </c>
      <c r="G44" s="31" t="s">
        <v>61</v>
      </c>
      <c r="H44" s="31" t="s">
        <v>61</v>
      </c>
      <c r="I44" s="16" t="s">
        <v>61</v>
      </c>
      <c r="J44" s="17" t="s">
        <v>61</v>
      </c>
      <c r="K44" s="21" t="s">
        <v>61</v>
      </c>
      <c r="L44" s="95"/>
      <c r="N44" s="66"/>
    </row>
    <row r="45" spans="2:14" ht="50.1" customHeight="1" x14ac:dyDescent="0.25">
      <c r="B45" s="2">
        <v>24</v>
      </c>
      <c r="C45" s="55" t="s">
        <v>19</v>
      </c>
      <c r="D45" s="143"/>
      <c r="E45" s="91"/>
      <c r="F45" s="91"/>
      <c r="G45" s="24" t="str">
        <f>IF(ISBLANK($E45),"Enter issue &amp; expiry",IF(E45="N/A", "N/A",IF(F45="N/A", H45,IF(($F45&gt;=DATE(YEAR($H45),MONTH($H45)-$K45,DAY($H45))),DATE(YEAR($H45),MONTH($H45)+$J45,DAY($H45)),$H45))))</f>
        <v>Enter issue &amp; expiry</v>
      </c>
      <c r="H45" s="31" t="str">
        <f ca="1">IF(ISBLANK($E45),"Enter issue &amp; expiry",IF(E45="N/A", "N/A",IF($J45="N/A",E45,IF(TODAY()&lt;DATE(YEAR($E45),MONTH($E45)-45,DAY($E45)),DATE(YEAR($E45),MONTH($E45)-48,DAY($E45)),IF(TODAY()&lt;DATE(YEAR($E45),MONTH($E45)-33,DAY($E45)),DATE(YEAR($E45),MONTH($E45)-36,DAY($E45)),IF(TODAY()&lt;DATE(YEAR($E45),MONTH($E45)-21,DAY($E45)),DATE(YEAR($E45),MONTH($E45)-24,DAY($E45)),IF(TODAY()&lt;DATE(YEAR($E45),MONTH($E45)-9,DAY($E45)),DATE(YEAR($E45),MONTH($E45)-12,DAY($E45)),IF(TODAY()&gt;DATE(YEAR($E45),MONTH($E45)-9,DAY($E45)),$E45,$E45))))))))</f>
        <v>Enter issue &amp; expiry</v>
      </c>
      <c r="I45" s="16">
        <v>60</v>
      </c>
      <c r="J45" s="57" t="str">
        <f>IF(J6="", "Choose Class from above", IF(J6="DNV-GL","N/A",IF(J6="BV","N/A","12")))</f>
        <v>Choose Class from above</v>
      </c>
      <c r="K45" s="167" t="str">
        <f>IF(J6="", "Choose Class from above", IF(J6="DNV-GL","N/A",IF(J6="BV","N/A","3")))</f>
        <v>Choose Class from above</v>
      </c>
      <c r="L45" s="95"/>
      <c r="N45" s="67"/>
    </row>
    <row r="46" spans="2:14" ht="50.1" customHeight="1" x14ac:dyDescent="0.25">
      <c r="B46" s="2">
        <v>25</v>
      </c>
      <c r="C46" s="55" t="s">
        <v>20</v>
      </c>
      <c r="D46" s="143"/>
      <c r="E46" s="30" t="s">
        <v>61</v>
      </c>
      <c r="F46" s="30" t="s">
        <v>61</v>
      </c>
      <c r="G46" s="30" t="s">
        <v>61</v>
      </c>
      <c r="H46" s="31" t="str">
        <f>I46</f>
        <v>N/A</v>
      </c>
      <c r="I46" s="16" t="s">
        <v>61</v>
      </c>
      <c r="J46" s="17" t="s">
        <v>61</v>
      </c>
      <c r="K46" s="21" t="s">
        <v>61</v>
      </c>
      <c r="L46" s="95"/>
      <c r="N46" s="67"/>
    </row>
    <row r="47" spans="2:14" ht="50.1" customHeight="1" x14ac:dyDescent="0.25">
      <c r="B47" s="2">
        <v>26</v>
      </c>
      <c r="C47" s="55" t="s">
        <v>21</v>
      </c>
      <c r="D47" s="143"/>
      <c r="E47" s="30" t="s">
        <v>61</v>
      </c>
      <c r="F47" s="30" t="s">
        <v>61</v>
      </c>
      <c r="G47" s="30" t="s">
        <v>61</v>
      </c>
      <c r="H47" s="31" t="str">
        <f>I47</f>
        <v>N/A</v>
      </c>
      <c r="I47" s="16" t="s">
        <v>61</v>
      </c>
      <c r="J47" s="17" t="s">
        <v>61</v>
      </c>
      <c r="K47" s="21" t="s">
        <v>61</v>
      </c>
      <c r="L47" s="95"/>
    </row>
    <row r="48" spans="2:14" ht="50.1" customHeight="1" x14ac:dyDescent="0.25">
      <c r="B48" s="2" t="s">
        <v>91</v>
      </c>
      <c r="C48" s="55" t="s">
        <v>22</v>
      </c>
      <c r="D48" s="143"/>
      <c r="E48" s="30" t="s">
        <v>61</v>
      </c>
      <c r="F48" s="30" t="s">
        <v>61</v>
      </c>
      <c r="G48" s="30" t="s">
        <v>61</v>
      </c>
      <c r="H48" s="31" t="str">
        <f>I48</f>
        <v>N/A</v>
      </c>
      <c r="I48" s="16" t="s">
        <v>61</v>
      </c>
      <c r="J48" s="17" t="s">
        <v>61</v>
      </c>
      <c r="K48" s="21" t="s">
        <v>61</v>
      </c>
      <c r="L48" s="95"/>
    </row>
    <row r="49" spans="2:12" ht="50.1" customHeight="1" x14ac:dyDescent="0.25">
      <c r="B49" s="2" t="s">
        <v>92</v>
      </c>
      <c r="C49" s="55" t="s">
        <v>23</v>
      </c>
      <c r="D49" s="143"/>
      <c r="E49" s="91"/>
      <c r="F49" s="30" t="s">
        <v>61</v>
      </c>
      <c r="G49" s="31" t="str">
        <f>H49</f>
        <v>Enter issue &amp; expiry</v>
      </c>
      <c r="H49" s="31" t="str">
        <f>IF(AND(ISBLANK($D49),ISBLANK($E49)),"Enter issue &amp; expiry",IF(E49="N/A", "N/A",IF(ISBLANK($E49),DATE(YEAR($D49),MONTH($D49)+$I49,DAY($D49)),$E49)))</f>
        <v>Enter issue &amp; expiry</v>
      </c>
      <c r="I49" s="16">
        <v>48</v>
      </c>
      <c r="J49" s="17" t="s">
        <v>61</v>
      </c>
      <c r="K49" s="21" t="s">
        <v>61</v>
      </c>
      <c r="L49" s="95"/>
    </row>
    <row r="50" spans="2:12" ht="50.1" customHeight="1" x14ac:dyDescent="0.25">
      <c r="B50" s="2">
        <v>28</v>
      </c>
      <c r="C50" s="55" t="s">
        <v>24</v>
      </c>
      <c r="D50" s="143"/>
      <c r="E50" s="91"/>
      <c r="F50" s="30" t="s">
        <v>61</v>
      </c>
      <c r="G50" s="31" t="str">
        <f t="shared" ref="G50:G53" si="5">H50</f>
        <v>Enter issue &amp; expiry</v>
      </c>
      <c r="H50" s="31" t="str">
        <f>IF(AND(ISBLANK($D50),ISBLANK($E50)),"Enter issue &amp; expiry",IF(ISBLANK($E50),DATE(YEAR($D50),MONTH($D50)+$I50,DAY($D50)),$E50))</f>
        <v>Enter issue &amp; expiry</v>
      </c>
      <c r="I50" s="16">
        <v>36</v>
      </c>
      <c r="J50" s="17" t="s">
        <v>61</v>
      </c>
      <c r="K50" s="21" t="s">
        <v>61</v>
      </c>
      <c r="L50" s="95"/>
    </row>
    <row r="51" spans="2:12" ht="50.1" customHeight="1" x14ac:dyDescent="0.25">
      <c r="B51" s="2">
        <v>29</v>
      </c>
      <c r="C51" s="55" t="s">
        <v>25</v>
      </c>
      <c r="D51" s="143"/>
      <c r="E51" s="91"/>
      <c r="F51" s="30" t="s">
        <v>61</v>
      </c>
      <c r="G51" s="31" t="str">
        <f>H51</f>
        <v>Enter issue &amp; expiry</v>
      </c>
      <c r="H51" s="31" t="str">
        <f>IF(AND(ISBLANK($D51),ISBLANK($E51)),"Enter issue &amp; expiry",IF(ISBLANK($E51),DATE(YEAR($D51),MONTH($D51)+$I51,DAY($D51)),$E51))</f>
        <v>Enter issue &amp; expiry</v>
      </c>
      <c r="I51" s="16">
        <v>12</v>
      </c>
      <c r="J51" s="17" t="s">
        <v>61</v>
      </c>
      <c r="K51" s="21" t="s">
        <v>61</v>
      </c>
      <c r="L51" s="95"/>
    </row>
    <row r="52" spans="2:12" ht="50.1" customHeight="1" x14ac:dyDescent="0.25">
      <c r="B52" s="53">
        <v>30</v>
      </c>
      <c r="C52" s="164" t="s">
        <v>26</v>
      </c>
      <c r="D52" s="144"/>
      <c r="E52" s="124"/>
      <c r="F52" s="125" t="s">
        <v>61</v>
      </c>
      <c r="G52" s="126" t="str">
        <f>H52</f>
        <v>Enter issue &amp; expiry</v>
      </c>
      <c r="H52" s="126" t="str">
        <f>IF(OR(ISBLANK($D52),ISBLANK($E52)),"Enter issue &amp; expiry",$E52)</f>
        <v>Enter issue &amp; expiry</v>
      </c>
      <c r="I52" s="127" t="s">
        <v>61</v>
      </c>
      <c r="J52" s="128" t="s">
        <v>61</v>
      </c>
      <c r="K52" s="129" t="s">
        <v>61</v>
      </c>
      <c r="L52" s="109" t="s">
        <v>77</v>
      </c>
    </row>
    <row r="53" spans="2:12" ht="50.1" customHeight="1" x14ac:dyDescent="0.25">
      <c r="B53" s="2">
        <v>31</v>
      </c>
      <c r="C53" s="55" t="s">
        <v>27</v>
      </c>
      <c r="D53" s="143"/>
      <c r="E53" s="91"/>
      <c r="F53" s="30" t="s">
        <v>61</v>
      </c>
      <c r="G53" s="31" t="str">
        <f t="shared" si="5"/>
        <v>Enter issue &amp; expiry</v>
      </c>
      <c r="H53" s="31" t="str">
        <f>IF(AND(ISBLANK($D53),ISBLANK($E53)),"Enter issue &amp; expiry",IF(ISBLANK($E53),DATE(YEAR($D53),MONTH($D53)+$I53,DAY($D53)),$E53))</f>
        <v>Enter issue &amp; expiry</v>
      </c>
      <c r="I53" s="16">
        <v>6</v>
      </c>
      <c r="J53" s="17" t="s">
        <v>61</v>
      </c>
      <c r="K53" s="21" t="s">
        <v>61</v>
      </c>
      <c r="L53" s="95"/>
    </row>
    <row r="54" spans="2:12" ht="50.1" customHeight="1" x14ac:dyDescent="0.25">
      <c r="B54" s="2">
        <v>32</v>
      </c>
      <c r="C54" s="55" t="s">
        <v>155</v>
      </c>
      <c r="D54" s="143"/>
      <c r="E54" s="91"/>
      <c r="F54" s="91"/>
      <c r="G54" s="31" t="str">
        <f>IF(ISBLANK($E54),"Enter issue &amp; expiry",IF(E54="N/A", "N/A",IF(F54="N/A", H54,IF(($F54&gt;=DATE(YEAR($H54),MONTH($H54)-$K54,DAY($H54))),DATE(YEAR($H54),MONTH($H54)+$J54,DAY($H54)),$H54))))</f>
        <v>Enter issue &amp; expiry</v>
      </c>
      <c r="H54" s="24" t="str">
        <f ca="1">IF(ISBLANK($E54),"Enter issue &amp; expiry",IF(E54="N/A", "N/A",IF(TODAY()&lt;DATE(YEAR($E54),MONTH($E54)-45,DAY($E54)),DATE(YEAR($E54),MONTH($E54)-48,DAY($E54)),IF(TODAY()&lt;DATE(YEAR($E54),MONTH($E54)-33,DAY($E54)),DATE(YEAR($E54),MONTH($E54)-36,DAY($E54)),IF(TODAY()&lt;DATE(YEAR($E54),MONTH($E54)-21,DAY($E54)),DATE(YEAR($E54),MONTH($E54)-24,DAY($E54)),IF(TODAY()&lt;DATE(YEAR($E54),MONTH($E54)-9,DAY($E54)),DATE(YEAR($E54),MONTH($E54)-12,DAY($E54)),IF(TODAY()&gt;DATE(YEAR($E54),MONTH($E54)-9,DAY($E54)),$E54,$E54)))))))</f>
        <v>Enter issue &amp; expiry</v>
      </c>
      <c r="I54" s="11">
        <v>60</v>
      </c>
      <c r="J54" s="11">
        <v>12</v>
      </c>
      <c r="K54" s="132">
        <v>3</v>
      </c>
      <c r="L54" s="134"/>
    </row>
    <row r="55" spans="2:12" ht="50.1" customHeight="1" x14ac:dyDescent="0.25">
      <c r="B55" s="2">
        <v>33</v>
      </c>
      <c r="C55" s="163" t="s">
        <v>156</v>
      </c>
      <c r="D55" s="143"/>
      <c r="E55" s="91"/>
      <c r="F55" s="11" t="s">
        <v>61</v>
      </c>
      <c r="G55" s="24" t="str">
        <f>H55</f>
        <v>Enter issue &amp; expiry</v>
      </c>
      <c r="H55" s="24" t="str">
        <f>IF(OR(ISBLANK($D55),ISBLANK($E55)),"Enter issue &amp; expiry",$E55)</f>
        <v>Enter issue &amp; expiry</v>
      </c>
      <c r="I55" s="11" t="s">
        <v>61</v>
      </c>
      <c r="J55" s="11" t="s">
        <v>61</v>
      </c>
      <c r="K55" s="132" t="s">
        <v>61</v>
      </c>
      <c r="L55" s="135" t="s">
        <v>77</v>
      </c>
    </row>
    <row r="56" spans="2:12" ht="50.1" customHeight="1" thickBot="1" x14ac:dyDescent="0.3">
      <c r="B56" s="140">
        <v>34</v>
      </c>
      <c r="C56" s="165" t="s">
        <v>159</v>
      </c>
      <c r="D56" s="145"/>
      <c r="E56" s="93"/>
      <c r="F56" s="26" t="s">
        <v>61</v>
      </c>
      <c r="G56" s="27" t="str">
        <f>H56</f>
        <v>Enter issue &amp; expiry</v>
      </c>
      <c r="H56" s="27" t="str">
        <f>IF(OR(ISBLANK($D56),ISBLANK($E56)),"Enter issue &amp; expiry",$E56)</f>
        <v>Enter issue &amp; expiry</v>
      </c>
      <c r="I56" s="12" t="s">
        <v>61</v>
      </c>
      <c r="J56" s="12" t="s">
        <v>61</v>
      </c>
      <c r="K56" s="133" t="s">
        <v>61</v>
      </c>
      <c r="L56" s="146"/>
    </row>
    <row r="57" spans="2:12" ht="15" customHeight="1" x14ac:dyDescent="0.25">
      <c r="B57" s="1"/>
    </row>
    <row r="58" spans="2:12" ht="15" customHeight="1" x14ac:dyDescent="0.25">
      <c r="B58" s="1"/>
      <c r="C58" s="184"/>
      <c r="D58" s="184"/>
      <c r="E58" s="184"/>
      <c r="F58" s="184"/>
      <c r="G58" s="184"/>
      <c r="H58" s="184"/>
      <c r="I58" s="184"/>
      <c r="J58" s="184"/>
      <c r="K58" s="184"/>
      <c r="L58" s="184"/>
    </row>
    <row r="59" spans="2:12" ht="15" customHeight="1" x14ac:dyDescent="0.25">
      <c r="B59" s="1"/>
    </row>
    <row r="60" spans="2:12" ht="15" customHeight="1" x14ac:dyDescent="0.25">
      <c r="B60" s="1"/>
    </row>
    <row r="61" spans="2:12" ht="15" customHeight="1" x14ac:dyDescent="0.25">
      <c r="B61" s="1"/>
    </row>
    <row r="62" spans="2:12" ht="15" customHeight="1" x14ac:dyDescent="0.25">
      <c r="B62" s="1"/>
    </row>
  </sheetData>
  <sheetProtection algorithmName="SHA-512" hashValue="KfAHlcRwsSecyUOE5K+C/Zd5quvGVVcEJTeuRPdqdeBNWMyljbex9xtjrkwzoN6ZmrfG1Rx9geIYB+jJetI9GA==" saltValue="1XeTp6rkVo4jaZOJpE0VDA==" spinCount="100000" sheet="1" objects="1" scenarios="1"/>
  <mergeCells count="12">
    <mergeCell ref="J2:K2"/>
    <mergeCell ref="C6:F6"/>
    <mergeCell ref="C7:F7"/>
    <mergeCell ref="C4:F4"/>
    <mergeCell ref="C3:F3"/>
    <mergeCell ref="C2:F2"/>
    <mergeCell ref="C5:F5"/>
    <mergeCell ref="C58:L58"/>
    <mergeCell ref="J3:K3"/>
    <mergeCell ref="C8:F8"/>
    <mergeCell ref="J8:K8"/>
    <mergeCell ref="G8:I8"/>
  </mergeCells>
  <conditionalFormatting sqref="B12:C12 B16:C17 B19:C19 G19:L19 G16:L17 G12:L12">
    <cfRule type="expression" dxfId="30" priority="13" stopIfTrue="1">
      <formula>OR(ISBLANK($F12),AND(($E12=$H12),$F12&lt;DATE(YEAR($E12),MONTH($E12)-36,DAY($E12))))</formula>
    </cfRule>
    <cfRule type="expression" dxfId="29" priority="39" stopIfTrue="1">
      <formula>TODAY()&gt;DATE(YEAR($G12),MONTH($G12)+6,DAY($G12))</formula>
    </cfRule>
    <cfRule type="expression" dxfId="28" priority="40" stopIfTrue="1">
      <formula>TODAY()&gt;$G12</formula>
    </cfRule>
    <cfRule type="expression" dxfId="27" priority="41" stopIfTrue="1">
      <formula>TODAY()&gt;DATE(YEAR($G12),MONTH($G12)-6,DAY($G12))</formula>
    </cfRule>
  </conditionalFormatting>
  <conditionalFormatting sqref="B45:C45 G45:L45">
    <cfRule type="expression" dxfId="26" priority="19" stopIfTrue="1">
      <formula>$F45&lt;DATE(YEAR($G45),MONTH($G45)-$J45,DAY($G45))</formula>
    </cfRule>
  </conditionalFormatting>
  <conditionalFormatting sqref="B14:C14 B25:C25 B27:C27 B29:C31 B34:C34 B37:C37 B41:C41 G41:L41 G37:L37 G34:L34 G27:L27 G25:L25 G14:L14 B54:C54 G54:L54 G29:L31">
    <cfRule type="expression" dxfId="25" priority="15" stopIfTrue="1">
      <formula>OR(ISBLANK($F14), $F14&lt;DATE(YEAR($G14),MONTH($G14)-($J14+$K14),DAY($G14)))</formula>
    </cfRule>
  </conditionalFormatting>
  <conditionalFormatting sqref="B12:C12 G12:L12 B14:C14 G14:L14 B16:C17 G16:L17 B19:C19 G19:L19 B25:C25 G25:L25 B27:C27 G27:L27 B29:C31 B34:C34 G34:L34 B37:C37 G37:L37 B41:C41 G41:L41 B54:C54 G54:L54 G29:L31">
    <cfRule type="expression" dxfId="24" priority="11" stopIfTrue="1">
      <formula>$F12&gt;TODAY()</formula>
    </cfRule>
  </conditionalFormatting>
  <conditionalFormatting sqref="B11:C56 G11:L56">
    <cfRule type="expression" priority="1" stopIfTrue="1">
      <formula>AND($D11="N/A", $E11="N/A", $F11="N/A")</formula>
    </cfRule>
    <cfRule type="expression" dxfId="23" priority="2" stopIfTrue="1">
      <formula>OR(ISBLANK($D11),ISBLANK($E11))</formula>
    </cfRule>
    <cfRule type="expression" dxfId="22" priority="3" stopIfTrue="1">
      <formula>IF(UPPER($D11="N/A"), FALSE, $D11&gt;TODAY())</formula>
    </cfRule>
  </conditionalFormatting>
  <conditionalFormatting sqref="B11:C11 G11:L11 B13:C13 G13:L13 B22:C24 G22:L24 B26:C26 G26:L26 B32:C33 G32:L33 B35:C36 G35:L36 B38:C40 G38:L40 B42:C43 G42:L43 B49:C53 G49:L53 B55:C56 G55:L56 G27">
    <cfRule type="expression" dxfId="21" priority="33" stopIfTrue="1">
      <formula>TODAY()&gt;$G11</formula>
    </cfRule>
    <cfRule type="expression" dxfId="20" priority="34" stopIfTrue="1">
      <formula>TODAY()&gt;DATE(YEAR($G11),MONTH($G11)-3,DAY($G11))</formula>
    </cfRule>
    <cfRule type="expression" dxfId="19" priority="35" stopIfTrue="1">
      <formula>TODAY()&gt;DATE(YEAR($G11),MONTH($G11)-6,DAY($G11))</formula>
    </cfRule>
  </conditionalFormatting>
  <conditionalFormatting sqref="B12:C12 G12:L12 B14:C14 G14:L14 B16:C17 G16:L17 B19:C19 G19:L19 B25:C25 G25:L25 B27:C27 G27:L27 B29:C31 B34:C34 G34:L34 B37:C37 G37:L37 B41:C41 G41:L41 B45:C45 G45:L45 B54:C54 G54:L54 G29:L31">
    <cfRule type="expression" dxfId="18" priority="20" stopIfTrue="1">
      <formula>TODAY()&gt;$E12</formula>
    </cfRule>
    <cfRule type="expression" dxfId="17" priority="21" stopIfTrue="1">
      <formula>TODAY()&gt; DATE(YEAR($E12),MONTH($E12)-3,DAY($E12))</formula>
    </cfRule>
    <cfRule type="expression" dxfId="16" priority="22" stopIfTrue="1">
      <formula>TODAY()&gt; DATE(YEAR($E12),MONTH($E12)-6,DAY($E12))</formula>
    </cfRule>
  </conditionalFormatting>
  <conditionalFormatting sqref="B14:C14 B25:C25 B27:C27 B29:C31 B34:C34 B37:C37 B41:C41 G41:L41 B45:C45 G45:L45 G37:L37 G34:L34 G27:L27 G25:L25 G14:L14 B54:C54 G54:L54 G29:L31">
    <cfRule type="expression" dxfId="15" priority="36" stopIfTrue="1">
      <formula>TODAY()&gt;DATE(YEAR($G14),MONTH($G14)+3,DAY($G14))</formula>
    </cfRule>
    <cfRule type="expression" dxfId="14" priority="37" stopIfTrue="1">
      <formula>TODAY()&gt;$G14</formula>
    </cfRule>
    <cfRule type="expression" dxfId="13" priority="38" stopIfTrue="1">
      <formula>TODAY()&gt;DATE(YEAR($G14),MONTH($G14)-3,DAY($G14))</formula>
    </cfRule>
  </conditionalFormatting>
  <dataValidations count="6">
    <dataValidation type="custom" operator="greaterThanOrEqual" allowBlank="1" showInputMessage="1" showErrorMessage="1" error="Data should be DD/MM/YYYY or N/A" sqref="F12 F19 F25 F34 F37 F41 F29:F31 F14 F16:F17 F27">
      <formula1>OR($F12="N/A",AND(ISNUMBER($F12),$F12&gt;DATE(1900,1,1)))</formula1>
    </dataValidation>
    <dataValidation type="list" allowBlank="1" showInputMessage="1" showErrorMessage="1" sqref="J6">
      <formula1>"LR, BV,DNV-GL"</formula1>
    </dataValidation>
    <dataValidation type="custom" allowBlank="1" showInputMessage="1" showErrorMessage="1" error="Data should be DD/MM/YYYY or N/A" sqref="D11:D25 D27:D56">
      <formula1>OR($D11="N/A",AND(ISNUMBER($D11),$D11&gt;DATE(1900,1,1)))</formula1>
    </dataValidation>
    <dataValidation type="custom" allowBlank="1" showInputMessage="1" showErrorMessage="1" error="Data should be DD/MM/YYYY or N/A" sqref="E45 E11:E14 E16:E17 E19 E49:E56 E29:E43 E22:E27">
      <formula1>OR($E11="N/A",AND(ISNUMBER($E11),$E11&gt;DATE(1900,1,1)))</formula1>
    </dataValidation>
    <dataValidation allowBlank="1" showInputMessage="1" showErrorMessage="1" error="Data should be DD/MM/YYYY" sqref="F45"/>
    <dataValidation type="custom" allowBlank="1" showInputMessage="1" showErrorMessage="1" error="Data should be DD/MM/YYYY or N/A" sqref="F54">
      <formula1>OR($F54="N/A",AND(ISNUMBER($F54),$F54&gt;DATE(1900,1,1)))</formula1>
    </dataValidation>
  </dataValidations>
  <pageMargins left="0.23622047244094491" right="0.23622047244094491" top="0.74803149606299213" bottom="0.74803149606299213" header="0.31496062992125984" footer="0.31496062992125984"/>
  <pageSetup paperSize="9" scale="63" fitToHeight="0" orientation="portrait" r:id="rId1"/>
  <headerFooter>
    <oddHeader>&amp;CIf a certificate, report, supplement is issued, renewed, endorsed, replaced full scanned .pdf copy -one file all pages- 
is to be sent to the Company as per TSO 02A.</oddHeader>
    <oddFooter>&amp;CIssue 2 Amend 2 - Issued October 2017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1:M47"/>
  <sheetViews>
    <sheetView showGridLines="0" showRowColHeaders="0" zoomScale="110" zoomScaleNormal="110" workbookViewId="0">
      <pane ySplit="10" topLeftCell="A32" activePane="bottomLeft" state="frozen"/>
      <selection pane="bottomLeft" activeCell="C10" sqref="C10"/>
    </sheetView>
  </sheetViews>
  <sheetFormatPr defaultRowHeight="15" x14ac:dyDescent="0.25"/>
  <cols>
    <col min="1" max="1" width="1.28515625" style="71" customWidth="1"/>
    <col min="2" max="2" width="4.7109375" style="70" customWidth="1"/>
    <col min="3" max="3" width="35.7109375" style="71" customWidth="1"/>
    <col min="4" max="5" width="12.7109375" style="70" customWidth="1"/>
    <col min="6" max="6" width="12.7109375" style="71" customWidth="1"/>
    <col min="7" max="7" width="12.7109375" style="98" customWidth="1"/>
    <col min="8" max="8" width="10.5703125" style="98" hidden="1" customWidth="1"/>
    <col min="9" max="11" width="10.7109375" style="71" customWidth="1"/>
    <col min="12" max="12" width="30.5703125" style="98" customWidth="1"/>
    <col min="13" max="16384" width="9.140625" style="71"/>
  </cols>
  <sheetData>
    <row r="1" spans="2:12" ht="7.5" customHeight="1" thickBot="1" x14ac:dyDescent="0.3">
      <c r="D1" s="71"/>
      <c r="E1" s="71"/>
      <c r="G1" s="71"/>
      <c r="H1" s="71"/>
      <c r="I1" s="98"/>
      <c r="J1" s="98"/>
      <c r="L1" s="71"/>
    </row>
    <row r="2" spans="2:12" ht="15.95" customHeight="1" x14ac:dyDescent="0.25">
      <c r="B2" s="72"/>
      <c r="C2" s="212" t="s">
        <v>82</v>
      </c>
      <c r="D2" s="213"/>
      <c r="E2" s="213"/>
      <c r="F2" s="214"/>
      <c r="G2" s="99"/>
      <c r="H2" s="99"/>
      <c r="I2" s="99"/>
    </row>
    <row r="3" spans="2:12" ht="15.95" customHeight="1" x14ac:dyDescent="0.25">
      <c r="B3" s="73"/>
      <c r="C3" s="206" t="s">
        <v>141</v>
      </c>
      <c r="D3" s="207"/>
      <c r="E3" s="207"/>
      <c r="F3" s="208"/>
      <c r="G3" s="100"/>
      <c r="H3" s="100"/>
      <c r="I3" s="101"/>
      <c r="J3" s="86"/>
      <c r="K3" s="102"/>
      <c r="L3" s="74"/>
    </row>
    <row r="4" spans="2:12" ht="15.95" customHeight="1" x14ac:dyDescent="0.25">
      <c r="B4" s="38"/>
      <c r="C4" s="194" t="s">
        <v>72</v>
      </c>
      <c r="D4" s="195"/>
      <c r="E4" s="195"/>
      <c r="F4" s="196"/>
      <c r="G4" s="100"/>
      <c r="H4" s="100"/>
      <c r="I4" s="101"/>
      <c r="J4" s="86"/>
      <c r="K4" s="102"/>
      <c r="L4" s="74"/>
    </row>
    <row r="5" spans="2:12" ht="15.95" customHeight="1" x14ac:dyDescent="0.25">
      <c r="B5" s="120"/>
      <c r="C5" s="221" t="s">
        <v>146</v>
      </c>
      <c r="D5" s="222"/>
      <c r="E5" s="222"/>
      <c r="F5" s="223"/>
      <c r="G5" s="100"/>
      <c r="H5" s="100"/>
      <c r="I5" s="101"/>
      <c r="J5" s="86"/>
      <c r="K5" s="102"/>
      <c r="L5" s="74"/>
    </row>
    <row r="6" spans="2:12" ht="15.95" customHeight="1" x14ac:dyDescent="0.25">
      <c r="B6" s="75"/>
      <c r="C6" s="218" t="s">
        <v>75</v>
      </c>
      <c r="D6" s="219"/>
      <c r="E6" s="219"/>
      <c r="F6" s="220"/>
      <c r="G6" s="71"/>
      <c r="H6" s="71"/>
      <c r="I6" s="103" t="s">
        <v>109</v>
      </c>
      <c r="J6" s="115"/>
      <c r="L6" s="71"/>
    </row>
    <row r="7" spans="2:12" ht="15.95" customHeight="1" x14ac:dyDescent="0.25">
      <c r="B7" s="76"/>
      <c r="C7" s="218" t="s">
        <v>74</v>
      </c>
      <c r="D7" s="219"/>
      <c r="E7" s="219"/>
      <c r="F7" s="220"/>
      <c r="G7" s="71"/>
      <c r="H7" s="71"/>
      <c r="I7" s="98"/>
      <c r="J7" s="98"/>
      <c r="L7" s="71"/>
    </row>
    <row r="8" spans="2:12" ht="15.95" customHeight="1" thickBot="1" x14ac:dyDescent="0.3">
      <c r="B8" s="77"/>
      <c r="C8" s="215" t="s">
        <v>73</v>
      </c>
      <c r="D8" s="216"/>
      <c r="E8" s="216"/>
      <c r="F8" s="217"/>
      <c r="G8" s="209" t="s">
        <v>83</v>
      </c>
      <c r="H8" s="210"/>
      <c r="I8" s="211"/>
      <c r="J8" s="189" t="s">
        <v>84</v>
      </c>
      <c r="K8" s="189"/>
    </row>
    <row r="9" spans="2:12" ht="7.5" customHeight="1" thickBot="1" x14ac:dyDescent="0.3">
      <c r="D9" s="71"/>
      <c r="E9" s="71"/>
      <c r="G9" s="71"/>
      <c r="H9" s="71"/>
      <c r="I9" s="98"/>
      <c r="J9" s="98"/>
      <c r="L9" s="71"/>
    </row>
    <row r="10" spans="2:12" ht="60" customHeight="1" thickBot="1" x14ac:dyDescent="0.3">
      <c r="B10" s="78" t="s">
        <v>0</v>
      </c>
      <c r="C10" s="79" t="s">
        <v>114</v>
      </c>
      <c r="D10" s="80" t="s">
        <v>78</v>
      </c>
      <c r="E10" s="80" t="s">
        <v>79</v>
      </c>
      <c r="F10" s="80" t="s">
        <v>112</v>
      </c>
      <c r="G10" s="80" t="s">
        <v>162</v>
      </c>
      <c r="H10" s="81" t="s">
        <v>81</v>
      </c>
      <c r="I10" s="80" t="s">
        <v>107</v>
      </c>
      <c r="J10" s="80" t="s">
        <v>110</v>
      </c>
      <c r="K10" s="80" t="s">
        <v>111</v>
      </c>
      <c r="L10" s="80" t="s">
        <v>80</v>
      </c>
    </row>
    <row r="11" spans="2:12" ht="50.1" customHeight="1" x14ac:dyDescent="0.25">
      <c r="B11" s="82">
        <v>1</v>
      </c>
      <c r="C11" s="155" t="s">
        <v>161</v>
      </c>
      <c r="D11" s="141"/>
      <c r="E11" s="83" t="s">
        <v>61</v>
      </c>
      <c r="F11" s="83" t="s">
        <v>61</v>
      </c>
      <c r="G11" s="28" t="s">
        <v>61</v>
      </c>
      <c r="H11" s="28" t="s">
        <v>61</v>
      </c>
      <c r="I11" s="13" t="s">
        <v>61</v>
      </c>
      <c r="J11" s="13" t="s">
        <v>61</v>
      </c>
      <c r="K11" s="13" t="s">
        <v>61</v>
      </c>
      <c r="L11" s="94"/>
    </row>
    <row r="12" spans="2:12" ht="50.1" customHeight="1" x14ac:dyDescent="0.25">
      <c r="B12" s="84">
        <v>2</v>
      </c>
      <c r="C12" s="156" t="s">
        <v>28</v>
      </c>
      <c r="D12" s="143"/>
      <c r="E12" s="30" t="s">
        <v>61</v>
      </c>
      <c r="F12" s="30" t="s">
        <v>61</v>
      </c>
      <c r="G12" s="31" t="s">
        <v>61</v>
      </c>
      <c r="H12" s="31" t="s">
        <v>61</v>
      </c>
      <c r="I12" s="17" t="s">
        <v>61</v>
      </c>
      <c r="J12" s="17" t="s">
        <v>61</v>
      </c>
      <c r="K12" s="17" t="s">
        <v>61</v>
      </c>
      <c r="L12" s="109"/>
    </row>
    <row r="13" spans="2:12" ht="50.1" customHeight="1" x14ac:dyDescent="0.25">
      <c r="B13" s="84">
        <v>3</v>
      </c>
      <c r="C13" s="156" t="s">
        <v>29</v>
      </c>
      <c r="D13" s="143"/>
      <c r="E13" s="30" t="s">
        <v>61</v>
      </c>
      <c r="F13" s="30" t="s">
        <v>61</v>
      </c>
      <c r="G13" s="31" t="s">
        <v>61</v>
      </c>
      <c r="H13" s="31" t="s">
        <v>61</v>
      </c>
      <c r="I13" s="17" t="s">
        <v>61</v>
      </c>
      <c r="J13" s="17" t="s">
        <v>61</v>
      </c>
      <c r="K13" s="17" t="s">
        <v>61</v>
      </c>
      <c r="L13" s="95"/>
    </row>
    <row r="14" spans="2:12" ht="50.1" customHeight="1" x14ac:dyDescent="0.25">
      <c r="B14" s="104">
        <v>4</v>
      </c>
      <c r="C14" s="156" t="s">
        <v>65</v>
      </c>
      <c r="D14" s="142"/>
      <c r="E14" s="107"/>
      <c r="F14" s="105" t="s">
        <v>61</v>
      </c>
      <c r="G14" s="29" t="str">
        <f>H14</f>
        <v>Enter expiry date</v>
      </c>
      <c r="H14" s="29" t="str">
        <f>IF(ISBLANK($E14),"Enter expiry date",IF($E14="N/A",IF($I14="Choose Flag from above","Choose Flag from above",IF($I14="N/A","N/A",IF(ISBLANK($D14),"Enter issue date",IF($D14="N/A", "N/A",DATE(YEAR($D14),MONTH($D14)+$I14,DAY($D14)))))),$E14))</f>
        <v>Enter expiry date</v>
      </c>
      <c r="I14" s="57" t="str">
        <f>IF($J$6 = "", "Choose Flag from above", IF($J$6="UK", 60, IF($J$6="IOM",  "N/A", "As stated")))</f>
        <v>Choose Flag from above</v>
      </c>
      <c r="J14" s="15" t="s">
        <v>61</v>
      </c>
      <c r="K14" s="116" t="s">
        <v>61</v>
      </c>
      <c r="L14" s="95"/>
    </row>
    <row r="15" spans="2:12" ht="50.1" customHeight="1" x14ac:dyDescent="0.25">
      <c r="B15" s="104">
        <v>4</v>
      </c>
      <c r="C15" s="156" t="s">
        <v>65</v>
      </c>
      <c r="D15" s="142"/>
      <c r="E15" s="107"/>
      <c r="F15" s="105" t="s">
        <v>61</v>
      </c>
      <c r="G15" s="29" t="str">
        <f>H15</f>
        <v>Enter expiry date</v>
      </c>
      <c r="H15" s="29" t="str">
        <f>IF(ISBLANK($E15),"Enter expiry date",IF($E15="N/A",IF($I15="Choose Flag from above","Choose Flag from above",IF($I15="N/A","N/A",IF(ISBLANK($D15),"Enter issue date",IF($D15="N/A", "N/A",DATE(YEAR($D15),MONTH($D15)+$I15,DAY($D15)))))),$E15))</f>
        <v>Enter expiry date</v>
      </c>
      <c r="I15" s="57" t="str">
        <f t="shared" ref="I15:I16" si="0">IF($J$6 = "", "Choose Flag from above", IF($J$6="UK", 60, IF($J$6="IOM",  "N/A", "As stated")))</f>
        <v>Choose Flag from above</v>
      </c>
      <c r="J15" s="15" t="s">
        <v>61</v>
      </c>
      <c r="K15" s="116" t="s">
        <v>61</v>
      </c>
      <c r="L15" s="95"/>
    </row>
    <row r="16" spans="2:12" ht="50.1" customHeight="1" x14ac:dyDescent="0.25">
      <c r="B16" s="104">
        <v>4</v>
      </c>
      <c r="C16" s="156" t="s">
        <v>65</v>
      </c>
      <c r="D16" s="142"/>
      <c r="E16" s="107"/>
      <c r="F16" s="105" t="s">
        <v>61</v>
      </c>
      <c r="G16" s="29" t="str">
        <f>H16</f>
        <v>Enter expiry date</v>
      </c>
      <c r="H16" s="29" t="str">
        <f>IF(ISBLANK($E16),"Enter expiry date",IF($E16="N/A",IF($I16="Choose Flag from above","Choose Flag from above",IF($I16="N/A","N/A",IF(ISBLANK($D16),"Enter issue date",IF($D16="N/A", "N/A",DATE(YEAR($D16),MONTH($D16)+$I16,DAY($D16)))))),$E16))</f>
        <v>Enter expiry date</v>
      </c>
      <c r="I16" s="57" t="str">
        <f t="shared" si="0"/>
        <v>Choose Flag from above</v>
      </c>
      <c r="J16" s="15" t="s">
        <v>61</v>
      </c>
      <c r="K16" s="116" t="s">
        <v>61</v>
      </c>
      <c r="L16" s="110"/>
    </row>
    <row r="17" spans="2:13" ht="50.1" customHeight="1" x14ac:dyDescent="0.25">
      <c r="B17" s="104">
        <v>4</v>
      </c>
      <c r="C17" s="156" t="s">
        <v>148</v>
      </c>
      <c r="D17" s="143"/>
      <c r="E17" s="30" t="s">
        <v>61</v>
      </c>
      <c r="F17" s="30" t="s">
        <v>61</v>
      </c>
      <c r="G17" s="31" t="s">
        <v>61</v>
      </c>
      <c r="H17" s="31" t="s">
        <v>61</v>
      </c>
      <c r="I17" s="17" t="s">
        <v>61</v>
      </c>
      <c r="J17" s="17" t="s">
        <v>61</v>
      </c>
      <c r="K17" s="17" t="s">
        <v>61</v>
      </c>
      <c r="L17" s="95"/>
    </row>
    <row r="18" spans="2:13" ht="50.1" customHeight="1" x14ac:dyDescent="0.25">
      <c r="B18" s="84">
        <v>5</v>
      </c>
      <c r="C18" s="156" t="s">
        <v>30</v>
      </c>
      <c r="D18" s="143"/>
      <c r="E18" s="30" t="s">
        <v>61</v>
      </c>
      <c r="F18" s="30" t="s">
        <v>61</v>
      </c>
      <c r="G18" s="31" t="s">
        <v>61</v>
      </c>
      <c r="H18" s="31" t="s">
        <v>61</v>
      </c>
      <c r="I18" s="17" t="s">
        <v>61</v>
      </c>
      <c r="J18" s="17" t="s">
        <v>61</v>
      </c>
      <c r="K18" s="17" t="s">
        <v>61</v>
      </c>
      <c r="L18" s="95"/>
    </row>
    <row r="19" spans="2:13" ht="50.1" customHeight="1" x14ac:dyDescent="0.25">
      <c r="B19" s="84">
        <v>6</v>
      </c>
      <c r="C19" s="156" t="s">
        <v>31</v>
      </c>
      <c r="D19" s="143"/>
      <c r="E19" s="91"/>
      <c r="F19" s="30" t="s">
        <v>61</v>
      </c>
      <c r="G19" s="31" t="str">
        <f>IF(AND(ISBLANK($D19),ISBLANK($E19)),"Enter issue &amp; expiry",IF(ISBLANK($E19),DATE(YEAR($D19),MONTH($D19)+$I19,DAY($D19)-1),$E19))</f>
        <v>Enter issue &amp; expiry</v>
      </c>
      <c r="H19" s="31" t="str">
        <f>IF(AND(ISBLANK($D19),ISBLANK($E19)),"Enter issue or expiry",IF(ISBLANK($E19),DATE(YEAR($D19),MONTH($D19)+$I19,DAY($D19)-1),$E19))</f>
        <v>Enter issue or expiry</v>
      </c>
      <c r="I19" s="17">
        <v>12</v>
      </c>
      <c r="J19" s="17" t="s">
        <v>61</v>
      </c>
      <c r="K19" s="17" t="s">
        <v>61</v>
      </c>
      <c r="L19" s="95"/>
    </row>
    <row r="20" spans="2:13" ht="50.1" customHeight="1" x14ac:dyDescent="0.25">
      <c r="B20" s="84">
        <v>7</v>
      </c>
      <c r="C20" s="156" t="s">
        <v>32</v>
      </c>
      <c r="D20" s="143"/>
      <c r="E20" s="30" t="s">
        <v>61</v>
      </c>
      <c r="F20" s="30" t="s">
        <v>61</v>
      </c>
      <c r="G20" s="30" t="s">
        <v>61</v>
      </c>
      <c r="H20" s="30" t="s">
        <v>61</v>
      </c>
      <c r="I20" s="17" t="s">
        <v>61</v>
      </c>
      <c r="J20" s="17" t="s">
        <v>61</v>
      </c>
      <c r="K20" s="17" t="s">
        <v>61</v>
      </c>
      <c r="L20" s="95"/>
    </row>
    <row r="21" spans="2:13" ht="50.1" customHeight="1" x14ac:dyDescent="0.25">
      <c r="B21" s="84">
        <v>8</v>
      </c>
      <c r="C21" s="156" t="s">
        <v>33</v>
      </c>
      <c r="D21" s="143"/>
      <c r="E21" s="91"/>
      <c r="F21" s="30" t="s">
        <v>61</v>
      </c>
      <c r="G21" s="31" t="str">
        <f>IF(AND(ISBLANK($D21),ISBLANK($E21)),"Enter issue &amp; expiry",IF(ISBLANK($E21),DATE(YEAR($D21),MONTH($D21)+$I21,DAY($D21)),$E21))</f>
        <v>Enter issue &amp; expiry</v>
      </c>
      <c r="H21" s="31" t="str">
        <f>IF(AND(ISBLANK($D21),ISBLANK($E21)),"Enter issue or expiry",IF(ISBLANK($E21),DATE(YEAR($D21),MONTH($D21)+$I21,DAY($D21)), $E21))</f>
        <v>Enter issue or expiry</v>
      </c>
      <c r="I21" s="17">
        <v>12</v>
      </c>
      <c r="J21" s="17" t="s">
        <v>61</v>
      </c>
      <c r="K21" s="17" t="s">
        <v>61</v>
      </c>
      <c r="L21" s="95"/>
    </row>
    <row r="22" spans="2:13" ht="50.1" customHeight="1" x14ac:dyDescent="0.25">
      <c r="B22" s="84" t="s">
        <v>88</v>
      </c>
      <c r="C22" s="166" t="s">
        <v>163</v>
      </c>
      <c r="D22" s="143"/>
      <c r="E22" s="91"/>
      <c r="F22" s="30" t="s">
        <v>61</v>
      </c>
      <c r="G22" s="31" t="str">
        <f>IF(AND(ISBLANK($D22),ISBLANK($E22)),"Enter issue &amp; expiry",IF(ISBLANK($E22),DATE(YEAR($D22),MONTH($D22)+$I22,DAY($D22)),$E22))</f>
        <v>Enter issue &amp; expiry</v>
      </c>
      <c r="H22" s="31"/>
      <c r="I22" s="17">
        <v>12</v>
      </c>
      <c r="J22" s="17" t="s">
        <v>61</v>
      </c>
      <c r="K22" s="17" t="s">
        <v>61</v>
      </c>
      <c r="L22" s="95"/>
    </row>
    <row r="23" spans="2:13" ht="50.1" customHeight="1" x14ac:dyDescent="0.25">
      <c r="B23" s="84">
        <v>9</v>
      </c>
      <c r="C23" s="156" t="s">
        <v>34</v>
      </c>
      <c r="D23" s="143"/>
      <c r="E23" s="91"/>
      <c r="F23" s="30" t="s">
        <v>61</v>
      </c>
      <c r="G23" s="31" t="str">
        <f>IF(AND(ISBLANK($D23),ISBLANK($E23)),"Enter issue &amp; expiry",IF(ISBLANK($E23),DATE(YEAR($D23),MONTH($D23)+$I23,DAY($D23)),$E23))</f>
        <v>Enter issue &amp; expiry</v>
      </c>
      <c r="H23" s="31" t="str">
        <f>IF(AND(ISBLANK($D23),ISBLANK($E23)),"Enter issue or expiry",IF(ISBLANK($E23),DATE(YEAR($D23),MONTH($D23)+$I23,DAY($D23)),$E23))</f>
        <v>Enter issue or expiry</v>
      </c>
      <c r="I23" s="17">
        <v>12</v>
      </c>
      <c r="J23" s="17" t="s">
        <v>61</v>
      </c>
      <c r="K23" s="17" t="s">
        <v>61</v>
      </c>
      <c r="L23" s="95"/>
    </row>
    <row r="24" spans="2:13" ht="50.1" customHeight="1" x14ac:dyDescent="0.25">
      <c r="B24" s="84">
        <v>10</v>
      </c>
      <c r="C24" s="156" t="s">
        <v>35</v>
      </c>
      <c r="D24" s="143"/>
      <c r="E24" s="91"/>
      <c r="F24" s="30" t="s">
        <v>61</v>
      </c>
      <c r="G24" s="31" t="str">
        <f t="shared" ref="G24:H26" si="1">IF(ISBLANK($E24),"Enter expiry date",IF($E24="N/A",IF($I24="Enter expiry interval Or N/A","Enter expiry interval",IF($I24="N/A","N/A",IF(ISBLANK($D24),"Enter issue date",DATE(YEAR($D24),MONTH($D24)+$I24,DAY($D24))))),$E24))</f>
        <v>Enter expiry date</v>
      </c>
      <c r="H24" s="31" t="str">
        <f t="shared" si="1"/>
        <v>Enter expiry date</v>
      </c>
      <c r="I24" s="108" t="s">
        <v>103</v>
      </c>
      <c r="J24" s="17" t="s">
        <v>61</v>
      </c>
      <c r="K24" s="17" t="s">
        <v>61</v>
      </c>
      <c r="L24" s="95" t="s">
        <v>76</v>
      </c>
    </row>
    <row r="25" spans="2:13" ht="50.1" customHeight="1" x14ac:dyDescent="0.25">
      <c r="B25" s="84">
        <v>11</v>
      </c>
      <c r="C25" s="156" t="s">
        <v>36</v>
      </c>
      <c r="D25" s="143"/>
      <c r="E25" s="91"/>
      <c r="F25" s="30" t="s">
        <v>61</v>
      </c>
      <c r="G25" s="31" t="str">
        <f t="shared" si="1"/>
        <v>Enter expiry date</v>
      </c>
      <c r="H25" s="31" t="str">
        <f t="shared" si="1"/>
        <v>Enter expiry date</v>
      </c>
      <c r="I25" s="108" t="s">
        <v>103</v>
      </c>
      <c r="J25" s="17" t="s">
        <v>61</v>
      </c>
      <c r="K25" s="17" t="s">
        <v>61</v>
      </c>
      <c r="L25" s="95" t="s">
        <v>94</v>
      </c>
    </row>
    <row r="26" spans="2:13" ht="50.1" customHeight="1" x14ac:dyDescent="0.25">
      <c r="B26" s="84">
        <v>12</v>
      </c>
      <c r="C26" s="156" t="s">
        <v>37</v>
      </c>
      <c r="D26" s="143"/>
      <c r="E26" s="91"/>
      <c r="F26" s="30" t="s">
        <v>61</v>
      </c>
      <c r="G26" s="31" t="str">
        <f t="shared" si="1"/>
        <v>Enter expiry date</v>
      </c>
      <c r="H26" s="31" t="str">
        <f t="shared" si="1"/>
        <v>Enter expiry date</v>
      </c>
      <c r="I26" s="108" t="s">
        <v>103</v>
      </c>
      <c r="J26" s="17" t="s">
        <v>61</v>
      </c>
      <c r="K26" s="17" t="s">
        <v>61</v>
      </c>
      <c r="L26" s="95" t="s">
        <v>95</v>
      </c>
    </row>
    <row r="27" spans="2:13" ht="50.1" customHeight="1" x14ac:dyDescent="0.25">
      <c r="B27" s="84">
        <v>13</v>
      </c>
      <c r="C27" s="156" t="s">
        <v>38</v>
      </c>
      <c r="D27" s="143"/>
      <c r="E27" s="91"/>
      <c r="F27" s="30" t="s">
        <v>61</v>
      </c>
      <c r="G27" s="31" t="str">
        <f>IF(AND(ISBLANK($D27),ISBLANK($E27)),"Enter issue &amp; expiry",IF(ISBLANK($E27),DATE(YEAR($D27),MONTH($D27)+$I27,DAY($D27)),$E27))</f>
        <v>Enter issue &amp; expiry</v>
      </c>
      <c r="H27" s="31" t="str">
        <f>IF(AND(ISBLANK($D27),ISBLANK($E27)),"Enter issue &amp; expiry",IF(ISBLANK($E27),DATE(YEAR($D27),MONTH($D27)+$I27,DAY($D27)),$E27))</f>
        <v>Enter issue &amp; expiry</v>
      </c>
      <c r="I27" s="106">
        <v>6</v>
      </c>
      <c r="J27" s="17" t="s">
        <v>61</v>
      </c>
      <c r="K27" s="17" t="s">
        <v>61</v>
      </c>
      <c r="L27" s="95" t="s">
        <v>144</v>
      </c>
    </row>
    <row r="28" spans="2:13" ht="50.1" customHeight="1" x14ac:dyDescent="0.25">
      <c r="B28" s="84">
        <v>14</v>
      </c>
      <c r="C28" s="157" t="s">
        <v>136</v>
      </c>
      <c r="D28" s="143"/>
      <c r="E28" s="30" t="s">
        <v>61</v>
      </c>
      <c r="F28" s="30" t="s">
        <v>61</v>
      </c>
      <c r="G28" s="30" t="s">
        <v>61</v>
      </c>
      <c r="H28" s="30" t="s">
        <v>61</v>
      </c>
      <c r="I28" s="17" t="s">
        <v>61</v>
      </c>
      <c r="J28" s="17" t="s">
        <v>61</v>
      </c>
      <c r="K28" s="17" t="s">
        <v>61</v>
      </c>
      <c r="L28" s="95"/>
    </row>
    <row r="29" spans="2:13" ht="50.1" customHeight="1" x14ac:dyDescent="0.25">
      <c r="B29" s="84">
        <f>B30</f>
        <v>14</v>
      </c>
      <c r="C29" s="157" t="s">
        <v>137</v>
      </c>
      <c r="D29" s="143"/>
      <c r="E29" s="30" t="s">
        <v>61</v>
      </c>
      <c r="F29" s="30" t="s">
        <v>61</v>
      </c>
      <c r="G29" s="30" t="s">
        <v>61</v>
      </c>
      <c r="H29" s="30" t="s">
        <v>61</v>
      </c>
      <c r="I29" s="17" t="s">
        <v>61</v>
      </c>
      <c r="J29" s="17" t="s">
        <v>61</v>
      </c>
      <c r="K29" s="17" t="s">
        <v>61</v>
      </c>
      <c r="L29" s="111"/>
    </row>
    <row r="30" spans="2:13" ht="50.1" customHeight="1" x14ac:dyDescent="0.25">
      <c r="B30" s="84">
        <v>14</v>
      </c>
      <c r="C30" s="157" t="s">
        <v>135</v>
      </c>
      <c r="D30" s="143"/>
      <c r="E30" s="30" t="s">
        <v>61</v>
      </c>
      <c r="F30" s="30" t="s">
        <v>61</v>
      </c>
      <c r="G30" s="30" t="s">
        <v>61</v>
      </c>
      <c r="H30" s="30" t="s">
        <v>61</v>
      </c>
      <c r="I30" s="17" t="s">
        <v>61</v>
      </c>
      <c r="J30" s="17" t="s">
        <v>61</v>
      </c>
      <c r="K30" s="17" t="s">
        <v>61</v>
      </c>
      <c r="L30" s="95"/>
    </row>
    <row r="31" spans="2:13" ht="50.1" customHeight="1" x14ac:dyDescent="0.25">
      <c r="B31" s="84">
        <v>15</v>
      </c>
      <c r="C31" s="156" t="s">
        <v>39</v>
      </c>
      <c r="D31" s="143"/>
      <c r="E31" s="30" t="s">
        <v>61</v>
      </c>
      <c r="F31" s="30" t="s">
        <v>61</v>
      </c>
      <c r="G31" s="30" t="s">
        <v>61</v>
      </c>
      <c r="H31" s="30" t="s">
        <v>61</v>
      </c>
      <c r="I31" s="17" t="s">
        <v>61</v>
      </c>
      <c r="J31" s="17" t="s">
        <v>61</v>
      </c>
      <c r="K31" s="17" t="s">
        <v>61</v>
      </c>
      <c r="L31" s="95"/>
    </row>
    <row r="32" spans="2:13" ht="50.1" customHeight="1" x14ac:dyDescent="0.25">
      <c r="B32" s="84">
        <v>16</v>
      </c>
      <c r="C32" s="156" t="s">
        <v>150</v>
      </c>
      <c r="D32" s="143"/>
      <c r="E32" s="91"/>
      <c r="F32" s="30" t="s">
        <v>61</v>
      </c>
      <c r="G32" s="31" t="str">
        <f>IF(ISBLANK($E32),"Enter expiry date",IF($E32="N/A",IF($I32="Enter expiry interval Or N/A","Enter expiry interval",IF($I32="N/A","N/A",IF(ISBLANK($D32),"Enter issue date",DATE(YEAR($D32),MONTH($D32)+$I32,DAY($D32))))),$E32))</f>
        <v>Enter expiry date</v>
      </c>
      <c r="H32" s="31" t="str">
        <f>IF(ISBLANK($E32),"Enter expiry date",IF($E32="N/A",IF($I32="Enter expiry interval Or N/A","Enter expiry interval",IF($I32="N/A","N/A",IF(ISBLANK($D32),"Enter issue date",DATE(YEAR($D32),MONTH($D32)+$I32,DAY($D32))))),$E32))</f>
        <v>Enter expiry date</v>
      </c>
      <c r="I32" s="108" t="s">
        <v>103</v>
      </c>
      <c r="J32" s="17" t="s">
        <v>61</v>
      </c>
      <c r="K32" s="17" t="s">
        <v>61</v>
      </c>
      <c r="L32" s="96"/>
      <c r="M32" s="87"/>
    </row>
    <row r="33" spans="2:12" ht="50.1" customHeight="1" x14ac:dyDescent="0.25">
      <c r="B33" s="85">
        <v>17</v>
      </c>
      <c r="C33" s="157" t="s">
        <v>105</v>
      </c>
      <c r="D33" s="143"/>
      <c r="E33" s="91"/>
      <c r="F33" s="30" t="s">
        <v>61</v>
      </c>
      <c r="G33" s="31" t="str">
        <f t="shared" ref="G33:G38" si="2">IF(ISBLANK($E33),"Enter issue &amp; expiry",$E33)</f>
        <v>Enter issue &amp; expiry</v>
      </c>
      <c r="H33" s="31" t="str">
        <f t="shared" ref="H33:H35" si="3">IF(ISBLANK($E33),"Enter issue or expiry",$E33)</f>
        <v>Enter issue or expiry</v>
      </c>
      <c r="I33" s="17" t="s">
        <v>61</v>
      </c>
      <c r="J33" s="17" t="s">
        <v>61</v>
      </c>
      <c r="K33" s="17" t="s">
        <v>61</v>
      </c>
      <c r="L33" s="95" t="s">
        <v>149</v>
      </c>
    </row>
    <row r="34" spans="2:12" ht="50.1" customHeight="1" x14ac:dyDescent="0.25">
      <c r="B34" s="85">
        <v>17</v>
      </c>
      <c r="C34" s="157" t="s">
        <v>105</v>
      </c>
      <c r="D34" s="143"/>
      <c r="E34" s="91"/>
      <c r="F34" s="30" t="s">
        <v>61</v>
      </c>
      <c r="G34" s="31" t="str">
        <f t="shared" si="2"/>
        <v>Enter issue &amp; expiry</v>
      </c>
      <c r="H34" s="31" t="str">
        <f t="shared" si="3"/>
        <v>Enter issue or expiry</v>
      </c>
      <c r="I34" s="17" t="s">
        <v>61</v>
      </c>
      <c r="J34" s="17" t="s">
        <v>61</v>
      </c>
      <c r="K34" s="17" t="s">
        <v>61</v>
      </c>
      <c r="L34" s="95" t="s">
        <v>158</v>
      </c>
    </row>
    <row r="35" spans="2:12" ht="50.1" customHeight="1" x14ac:dyDescent="0.25">
      <c r="B35" s="85">
        <v>17</v>
      </c>
      <c r="C35" s="157" t="s">
        <v>105</v>
      </c>
      <c r="D35" s="143"/>
      <c r="E35" s="91"/>
      <c r="F35" s="30" t="s">
        <v>61</v>
      </c>
      <c r="G35" s="31" t="str">
        <f t="shared" si="2"/>
        <v>Enter issue &amp; expiry</v>
      </c>
      <c r="H35" s="31" t="str">
        <f t="shared" si="3"/>
        <v>Enter issue or expiry</v>
      </c>
      <c r="I35" s="17" t="s">
        <v>61</v>
      </c>
      <c r="J35" s="17" t="s">
        <v>61</v>
      </c>
      <c r="K35" s="17" t="s">
        <v>61</v>
      </c>
      <c r="L35" s="95" t="s">
        <v>158</v>
      </c>
    </row>
    <row r="36" spans="2:12" ht="50.1" customHeight="1" x14ac:dyDescent="0.25">
      <c r="B36" s="85">
        <v>18</v>
      </c>
      <c r="C36" s="157" t="s">
        <v>104</v>
      </c>
      <c r="D36" s="143"/>
      <c r="E36" s="91"/>
      <c r="F36" s="30" t="s">
        <v>61</v>
      </c>
      <c r="G36" s="31" t="str">
        <f t="shared" si="2"/>
        <v>Enter issue &amp; expiry</v>
      </c>
      <c r="H36" s="30" t="s">
        <v>61</v>
      </c>
      <c r="I36" s="17" t="s">
        <v>61</v>
      </c>
      <c r="J36" s="17" t="s">
        <v>61</v>
      </c>
      <c r="K36" s="17" t="s">
        <v>61</v>
      </c>
      <c r="L36" s="95" t="s">
        <v>149</v>
      </c>
    </row>
    <row r="37" spans="2:12" ht="50.1" customHeight="1" x14ac:dyDescent="0.25">
      <c r="B37" s="85">
        <v>18</v>
      </c>
      <c r="C37" s="157" t="s">
        <v>104</v>
      </c>
      <c r="D37" s="143"/>
      <c r="E37" s="91"/>
      <c r="F37" s="30" t="s">
        <v>61</v>
      </c>
      <c r="G37" s="31" t="str">
        <f t="shared" si="2"/>
        <v>Enter issue &amp; expiry</v>
      </c>
      <c r="H37" s="30" t="s">
        <v>61</v>
      </c>
      <c r="I37" s="17" t="s">
        <v>61</v>
      </c>
      <c r="J37" s="17" t="s">
        <v>61</v>
      </c>
      <c r="K37" s="17" t="s">
        <v>61</v>
      </c>
      <c r="L37" s="95" t="s">
        <v>158</v>
      </c>
    </row>
    <row r="38" spans="2:12" ht="50.1" customHeight="1" x14ac:dyDescent="0.25">
      <c r="B38" s="85">
        <v>18</v>
      </c>
      <c r="C38" s="157" t="s">
        <v>104</v>
      </c>
      <c r="D38" s="143"/>
      <c r="E38" s="91"/>
      <c r="F38" s="30" t="s">
        <v>61</v>
      </c>
      <c r="G38" s="31" t="str">
        <f t="shared" si="2"/>
        <v>Enter issue &amp; expiry</v>
      </c>
      <c r="H38" s="30" t="s">
        <v>61</v>
      </c>
      <c r="I38" s="17" t="s">
        <v>61</v>
      </c>
      <c r="J38" s="17" t="s">
        <v>61</v>
      </c>
      <c r="K38" s="17" t="s">
        <v>61</v>
      </c>
      <c r="L38" s="95" t="s">
        <v>158</v>
      </c>
    </row>
    <row r="39" spans="2:12" ht="50.1" customHeight="1" x14ac:dyDescent="0.25">
      <c r="B39" s="84">
        <v>19</v>
      </c>
      <c r="C39" s="156" t="s">
        <v>40</v>
      </c>
      <c r="D39" s="143"/>
      <c r="E39" s="30" t="s">
        <v>61</v>
      </c>
      <c r="F39" s="30" t="s">
        <v>61</v>
      </c>
      <c r="G39" s="30" t="s">
        <v>61</v>
      </c>
      <c r="H39" s="30" t="s">
        <v>61</v>
      </c>
      <c r="I39" s="17" t="s">
        <v>61</v>
      </c>
      <c r="J39" s="17" t="s">
        <v>61</v>
      </c>
      <c r="K39" s="17" t="s">
        <v>61</v>
      </c>
      <c r="L39" s="95"/>
    </row>
    <row r="40" spans="2:12" ht="50.1" customHeight="1" x14ac:dyDescent="0.25">
      <c r="B40" s="84">
        <v>20</v>
      </c>
      <c r="C40" s="156" t="s">
        <v>41</v>
      </c>
      <c r="D40" s="143"/>
      <c r="E40" s="91"/>
      <c r="F40" s="30" t="s">
        <v>61</v>
      </c>
      <c r="G40" s="31" t="str">
        <f>IF(AND(ISBLANK($D40),ISBLANK($E40)),"Enter issue &amp; expiry",IF(ISBLANK($E40),DATE(YEAR($D40),MONTH($D40)+$I40,DAY($D40)),$E40))</f>
        <v>Enter issue &amp; expiry</v>
      </c>
      <c r="H40" s="31" t="str">
        <f>IF(AND(ISBLANK($D40),ISBLANK($E40)),"Enter issue &amp; expiry",IF(ISBLANK($E40),DATE(YEAR($D40),MONTH($D40)+$I40,DAY($D40)),$E40))</f>
        <v>Enter issue &amp; expiry</v>
      </c>
      <c r="I40" s="17">
        <v>12</v>
      </c>
      <c r="J40" s="17" t="s">
        <v>61</v>
      </c>
      <c r="K40" s="17" t="s">
        <v>61</v>
      </c>
      <c r="L40" s="95"/>
    </row>
    <row r="41" spans="2:12" ht="50.1" customHeight="1" x14ac:dyDescent="0.25">
      <c r="B41" s="84">
        <v>21</v>
      </c>
      <c r="C41" s="156" t="s">
        <v>42</v>
      </c>
      <c r="D41" s="143"/>
      <c r="E41" s="91"/>
      <c r="F41" s="30" t="s">
        <v>61</v>
      </c>
      <c r="G41" s="31" t="str">
        <f>IF(ISBLANK($E41),"Enter expiry date",IF($E41="N/A",IF($I41="Enter expiry interval Or N/A","Enter expiry interval.",IF($I41="N/A","N/A",IF(ISBLANK($D41),"Enter issue date",DATE(YEAR($D41),MONTH($D41)+$I41,DAY($D41))))),$E41))</f>
        <v>Enter expiry date</v>
      </c>
      <c r="H41" s="31" t="str">
        <f>IF(ISBLANK($E41),"Enter expiry date",IF($E41="N/A",IF($I41="Enter expiry interval Or N/A","Enter expiry interval. Column I",IF($I41="N/A","N/A",IF(ISBLANK($D41),"Enter issue date",DATE(YEAR($D41),MONTH($D41)+$I41,DAY($D41))))),$E41))</f>
        <v>Enter expiry date</v>
      </c>
      <c r="I41" s="108" t="s">
        <v>103</v>
      </c>
      <c r="J41" s="17" t="s">
        <v>61</v>
      </c>
      <c r="K41" s="17" t="s">
        <v>61</v>
      </c>
      <c r="L41" s="96"/>
    </row>
    <row r="42" spans="2:12" ht="50.1" customHeight="1" x14ac:dyDescent="0.25">
      <c r="B42" s="84">
        <v>22</v>
      </c>
      <c r="C42" s="156" t="s">
        <v>43</v>
      </c>
      <c r="D42" s="143"/>
      <c r="E42" s="91"/>
      <c r="F42" s="30" t="s">
        <v>61</v>
      </c>
      <c r="G42" s="31" t="str">
        <f>IF(ISBLANK($E42),"Enter expiry date",IF($E42="N/A",IF($I42="Enter expiry interval Or N/A","Enter expiry interval.",IF($I42="N/A","N/A",IF(ISBLANK($D42),"Enter issue date",DATE(YEAR($D42),MONTH($D42)+$I42,DAY($D42))))),$E42))</f>
        <v>Enter expiry date</v>
      </c>
      <c r="H42" s="31" t="str">
        <f>IF(ISBLANK($E42),"Enter expiry date",IF($E42="N/A",IF($I42="Enter expiry interval Or N/A","Enter expiry interval. Column I",IF($I42="N/A","N/A",IF(ISBLANK($D42),"Enter issue date",DATE(YEAR($D42),MONTH($D42)+$I42,DAY($D42))))),$E42))</f>
        <v>Enter expiry date</v>
      </c>
      <c r="I42" s="108" t="s">
        <v>103</v>
      </c>
      <c r="J42" s="17" t="s">
        <v>61</v>
      </c>
      <c r="K42" s="17" t="s">
        <v>61</v>
      </c>
      <c r="L42" s="96"/>
    </row>
    <row r="43" spans="2:12" ht="50.1" customHeight="1" x14ac:dyDescent="0.25">
      <c r="B43" s="84">
        <v>23</v>
      </c>
      <c r="C43" s="156" t="s">
        <v>58</v>
      </c>
      <c r="D43" s="143"/>
      <c r="E43" s="91"/>
      <c r="F43" s="30" t="s">
        <v>61</v>
      </c>
      <c r="G43" s="31" t="str">
        <f>IF(ISBLANK($E43), "Enter issue &amp; expiry", $E43)</f>
        <v>Enter issue &amp; expiry</v>
      </c>
      <c r="H43" s="31" t="str">
        <f>IF(ISBLANK($E43), "Enter issue &amp; expiry", $E43)</f>
        <v>Enter issue &amp; expiry</v>
      </c>
      <c r="I43" s="15" t="s">
        <v>61</v>
      </c>
      <c r="J43" s="17" t="s">
        <v>61</v>
      </c>
      <c r="K43" s="17" t="s">
        <v>61</v>
      </c>
      <c r="L43" s="95" t="s">
        <v>77</v>
      </c>
    </row>
    <row r="44" spans="2:12" ht="50.1" customHeight="1" x14ac:dyDescent="0.25">
      <c r="B44" s="84">
        <v>24</v>
      </c>
      <c r="C44" s="156" t="s">
        <v>59</v>
      </c>
      <c r="D44" s="143"/>
      <c r="E44" s="91"/>
      <c r="F44" s="30" t="s">
        <v>61</v>
      </c>
      <c r="G44" s="31" t="str">
        <f>IF(AND(ISBLANK($D44),ISBLANK($E44)),"Enter issue &amp; expiry",IF(ISBLANK($E44),DATE(YEAR($D44),MONTH($D44)+$I44,DAY($D44)),$E44))</f>
        <v>Enter issue &amp; expiry</v>
      </c>
      <c r="H44" s="31" t="str">
        <f>IF(AND(ISBLANK($D44),ISBLANK($E44)),"Enter issue &amp; expiry",IF(ISBLANK($E44),DATE(YEAR($D44),MONTH($D44)+$I44,DAY($D44)),$E44))</f>
        <v>Enter issue &amp; expiry</v>
      </c>
      <c r="I44" s="15">
        <v>12</v>
      </c>
      <c r="J44" s="17" t="s">
        <v>61</v>
      </c>
      <c r="K44" s="17" t="s">
        <v>61</v>
      </c>
      <c r="L44" s="95"/>
    </row>
    <row r="45" spans="2:12" ht="50.1" customHeight="1" x14ac:dyDescent="0.25">
      <c r="B45" s="84">
        <v>25</v>
      </c>
      <c r="C45" s="156" t="s">
        <v>139</v>
      </c>
      <c r="D45" s="143"/>
      <c r="E45" s="30" t="s">
        <v>61</v>
      </c>
      <c r="F45" s="30" t="s">
        <v>61</v>
      </c>
      <c r="G45" s="31" t="s">
        <v>61</v>
      </c>
      <c r="H45" s="31" t="s">
        <v>61</v>
      </c>
      <c r="I45" s="17" t="s">
        <v>61</v>
      </c>
      <c r="J45" s="17" t="s">
        <v>61</v>
      </c>
      <c r="K45" s="17" t="s">
        <v>61</v>
      </c>
      <c r="L45" s="95"/>
    </row>
    <row r="46" spans="2:12" ht="50.1" customHeight="1" x14ac:dyDescent="0.25">
      <c r="B46" s="150">
        <v>26</v>
      </c>
      <c r="C46" s="158" t="s">
        <v>153</v>
      </c>
      <c r="D46" s="154"/>
      <c r="E46" s="147"/>
      <c r="F46" s="148" t="s">
        <v>61</v>
      </c>
      <c r="G46" s="149" t="str">
        <f>IF(AND(ISBLANK($D46),ISBLANK($E46)),"Enter issue &amp; expiry",IF(ISBLANK($E46),DATE(YEAR($D46),MONTH($D46)+$I46,DAY($D46)),$E46))</f>
        <v>Enter issue &amp; expiry</v>
      </c>
      <c r="H46" s="149" t="str">
        <f>IF(AND(ISBLANK($D46),ISBLANK($E46)),"Enter issue &amp; expiry",IF(ISBLANK($E46),DATE(YEAR($D46),MONTH($D46)+$I46,DAY($D46)),$E46))</f>
        <v>Enter issue &amp; expiry</v>
      </c>
      <c r="I46" s="17">
        <v>12</v>
      </c>
      <c r="J46" s="15" t="s">
        <v>61</v>
      </c>
      <c r="K46" s="15" t="s">
        <v>61</v>
      </c>
      <c r="L46" s="151" t="s">
        <v>154</v>
      </c>
    </row>
    <row r="47" spans="2:12" ht="50.1" customHeight="1" thickBot="1" x14ac:dyDescent="0.3">
      <c r="B47" s="130">
        <v>27</v>
      </c>
      <c r="C47" s="159" t="s">
        <v>160</v>
      </c>
      <c r="D47" s="145"/>
      <c r="E47" s="93"/>
      <c r="F47" s="152" t="s">
        <v>61</v>
      </c>
      <c r="G47" s="160" t="str">
        <f>IF(ISBLANK($E47), "Enter issue &amp; expiry", $E47)</f>
        <v>Enter issue &amp; expiry</v>
      </c>
      <c r="H47" s="153"/>
      <c r="I47" s="18" t="s">
        <v>61</v>
      </c>
      <c r="J47" s="18" t="s">
        <v>61</v>
      </c>
      <c r="K47" s="18" t="s">
        <v>61</v>
      </c>
      <c r="L47" s="131"/>
    </row>
  </sheetData>
  <sheetProtection algorithmName="SHA-512" hashValue="Rju2UR1dHk2B0T7Ct3yl63l3+CMJqeTPfqWHB4/0w1qgK5+hbWlFuS2zRaUNOZ9IdDjlpiZFsRzSn5GWs4yB5w==" saltValue="xnkKZc2GZeEbz3rKwZUEag==" spinCount="100000" sheet="1" objects="1" scenarios="1"/>
  <mergeCells count="9">
    <mergeCell ref="J8:K8"/>
    <mergeCell ref="C3:F3"/>
    <mergeCell ref="G8:I8"/>
    <mergeCell ref="C2:F2"/>
    <mergeCell ref="C8:F8"/>
    <mergeCell ref="C6:F6"/>
    <mergeCell ref="C7:F7"/>
    <mergeCell ref="C4:F4"/>
    <mergeCell ref="C5:F5"/>
  </mergeCells>
  <conditionalFormatting sqref="B11:C47 G11:L47">
    <cfRule type="expression" priority="1" stopIfTrue="1">
      <formula>AND($D11="N/A", $E11="N/A")</formula>
    </cfRule>
    <cfRule type="expression" dxfId="12" priority="2" stopIfTrue="1">
      <formula>OR(ISBLANK($D11),ISBLANK($E11))</formula>
    </cfRule>
    <cfRule type="expression" dxfId="11" priority="3" stopIfTrue="1">
      <formula>IF(UPPER($D11="N/A"), FALSE, $D11&gt;TODAY())</formula>
    </cfRule>
  </conditionalFormatting>
  <conditionalFormatting sqref="B14:C16 B19:C19 B21:C27 B32:C38 B40:C44 G40:L44 G32:L38 G19:L19 B46:C47 G46:L47 G21:L27 G14:L16">
    <cfRule type="expression" dxfId="10" priority="11" stopIfTrue="1">
      <formula>TODAY()&gt;$G14</formula>
    </cfRule>
    <cfRule type="expression" dxfId="9" priority="12" stopIfTrue="1">
      <formula>TODAY()&gt;DATE(YEAR($G14),MONTH($G14)-3,DAY($G14))</formula>
    </cfRule>
    <cfRule type="expression" dxfId="8" priority="13" stopIfTrue="1">
      <formula>TODAY()&gt;DATE(YEAR($G14),MONTH($G14)-6,DAY($G14))</formula>
    </cfRule>
  </conditionalFormatting>
  <dataValidations count="6">
    <dataValidation type="list" allowBlank="1" showInputMessage="1" showErrorMessage="1" sqref="J6">
      <formula1>"UK, IOM, MALTA"</formula1>
    </dataValidation>
    <dataValidation type="custom" allowBlank="1" showInputMessage="1" showErrorMessage="1" error="Data should be DD/MM/YYYY or N/A" sqref="D11:D47">
      <formula1>OR($D11="N/A",AND(ISNUMBER($D11),$D11&gt;DATE(1900,1,1)))</formula1>
    </dataValidation>
    <dataValidation type="custom" allowBlank="1" showInputMessage="1" showErrorMessage="1" error="Data should be DD/MM/YYYY or N/A" sqref="E44 E47">
      <formula1>OR($E44="N/A",AND(ISNUMBER($E44),$E44&gt;DATE(1900,1,1)))</formula1>
    </dataValidation>
    <dataValidation type="custom" allowBlank="1" showInputMessage="1" showErrorMessage="1" error="Data should be DD/MM/YYYY or N/A" sqref="E22 E23 E24 E25 E26 E27 E32 E33 E34 E35 E36 E37 E38 E40 E41 E42 E43 E46">
      <formula1>OR($E22="N/A",AND(ISNUMBER($E22),$E22&gt;DATE(1900,1,1)))</formula1>
    </dataValidation>
    <dataValidation type="custom" allowBlank="1" showInputMessage="1" showErrorMessage="1" error="Data should be DD/MM/YYYY or N/A" sqref="E14 E15 E16 E19">
      <formula1>OR($E14="N/A",AND(ISNUMBER($E14),$E14&gt;DATE(1900,1,1)))</formula1>
    </dataValidation>
    <dataValidation type="custom" allowBlank="1" showInputMessage="1" showErrorMessage="1" error="Data should be DD/MM/YYYY or N/A" sqref="E21">
      <formula1>OR($E21="N/A",AND(ISNUMBER($E21),$E21&gt;DATE(1900,1,1)))</formula1>
    </dataValidation>
  </dataValidations>
  <pageMargins left="0.23622047244094491" right="0.23622047244094491" top="0.74803149606299213" bottom="0.74803149606299213" header="0.31496062992125984" footer="0.31496062992125984"/>
  <pageSetup paperSize="9" scale="63" fitToHeight="0" orientation="portrait" r:id="rId1"/>
  <headerFooter>
    <oddHeader>&amp;CIf a certificate, report, supplement is issued, renewed, endorsed, replaced full scanned .pdf copy -one file all pages- 
is to be sent to the Company as per TSO 02A.</oddHeader>
    <oddFooter>&amp;CIssue 2 Amend 2 - Issued October 2017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B1:O47"/>
  <sheetViews>
    <sheetView showGridLines="0" topLeftCell="C1" zoomScale="110" zoomScaleNormal="110" workbookViewId="0">
      <pane ySplit="10" topLeftCell="A11" activePane="bottomLeft" state="frozen"/>
      <selection pane="bottomLeft" activeCell="D18" sqref="D18"/>
    </sheetView>
  </sheetViews>
  <sheetFormatPr defaultRowHeight="15" x14ac:dyDescent="0.25"/>
  <cols>
    <col min="1" max="1" width="1.28515625" customWidth="1"/>
    <col min="2" max="2" width="4.7109375" style="1" customWidth="1"/>
    <col min="3" max="3" width="35.7109375" customWidth="1"/>
    <col min="4" max="5" width="12.7109375" customWidth="1"/>
    <col min="6" max="7" width="12.7109375" style="1" customWidth="1"/>
    <col min="8" max="8" width="11.7109375" style="19" customWidth="1"/>
    <col min="9" max="11" width="10.7109375" customWidth="1"/>
    <col min="12" max="12" width="30.5703125" style="23" customWidth="1"/>
    <col min="14" max="14" width="12" bestFit="1" customWidth="1"/>
  </cols>
  <sheetData>
    <row r="1" spans="2:13" ht="7.5" customHeight="1" thickBot="1" x14ac:dyDescent="0.3"/>
    <row r="2" spans="2:13" ht="15.95" customHeight="1" x14ac:dyDescent="0.25">
      <c r="B2" s="61"/>
      <c r="C2" s="200" t="s">
        <v>82</v>
      </c>
      <c r="D2" s="201"/>
      <c r="E2" s="201"/>
      <c r="F2" s="202"/>
      <c r="G2" s="32"/>
      <c r="J2" s="193"/>
      <c r="K2" s="193"/>
    </row>
    <row r="3" spans="2:13" ht="15.95" customHeight="1" x14ac:dyDescent="0.25">
      <c r="B3" s="62"/>
      <c r="C3" s="197" t="s">
        <v>141</v>
      </c>
      <c r="D3" s="198"/>
      <c r="E3" s="198"/>
      <c r="F3" s="199"/>
      <c r="G3" s="32"/>
      <c r="J3" s="185"/>
      <c r="K3" s="185"/>
    </row>
    <row r="4" spans="2:13" ht="15.95" customHeight="1" x14ac:dyDescent="0.25">
      <c r="B4" s="38"/>
      <c r="C4" s="194" t="s">
        <v>72</v>
      </c>
      <c r="D4" s="195"/>
      <c r="E4" s="195"/>
      <c r="F4" s="196"/>
      <c r="G4" s="32"/>
      <c r="J4" s="161"/>
      <c r="K4" s="161"/>
    </row>
    <row r="5" spans="2:13" ht="15.95" customHeight="1" x14ac:dyDescent="0.25">
      <c r="B5" s="121"/>
      <c r="C5" s="224" t="s">
        <v>145</v>
      </c>
      <c r="D5" s="225"/>
      <c r="E5" s="225"/>
      <c r="F5" s="226"/>
      <c r="G5" s="32"/>
      <c r="J5" s="119"/>
      <c r="K5" s="119"/>
    </row>
    <row r="6" spans="2:13" ht="15.95" customHeight="1" x14ac:dyDescent="0.25">
      <c r="B6" s="63"/>
      <c r="C6" s="194" t="s">
        <v>75</v>
      </c>
      <c r="D6" s="195"/>
      <c r="E6" s="195"/>
      <c r="F6" s="196"/>
      <c r="G6" s="33"/>
      <c r="J6" s="45"/>
      <c r="K6" s="45"/>
    </row>
    <row r="7" spans="2:13" ht="15.95" customHeight="1" x14ac:dyDescent="0.25">
      <c r="B7" s="64"/>
      <c r="C7" s="194" t="s">
        <v>74</v>
      </c>
      <c r="D7" s="195"/>
      <c r="E7" s="195"/>
      <c r="F7" s="196"/>
      <c r="G7" s="33"/>
    </row>
    <row r="8" spans="2:13" ht="15.95" customHeight="1" thickBot="1" x14ac:dyDescent="0.3">
      <c r="B8" s="65"/>
      <c r="C8" s="186" t="s">
        <v>73</v>
      </c>
      <c r="D8" s="187"/>
      <c r="E8" s="187"/>
      <c r="F8" s="188"/>
      <c r="G8" s="190" t="s">
        <v>83</v>
      </c>
      <c r="H8" s="191"/>
      <c r="I8" s="192"/>
      <c r="J8" s="189" t="s">
        <v>84</v>
      </c>
      <c r="K8" s="189"/>
    </row>
    <row r="9" spans="2:13" ht="7.5" customHeight="1" thickBot="1" x14ac:dyDescent="0.3"/>
    <row r="10" spans="2:13" ht="60" customHeight="1" thickBot="1" x14ac:dyDescent="0.3">
      <c r="B10" s="9" t="s">
        <v>0</v>
      </c>
      <c r="C10" s="7" t="s">
        <v>113</v>
      </c>
      <c r="D10" s="8" t="s">
        <v>78</v>
      </c>
      <c r="E10" s="8" t="s">
        <v>79</v>
      </c>
      <c r="F10" s="8" t="s">
        <v>112</v>
      </c>
      <c r="G10" s="8" t="s">
        <v>162</v>
      </c>
      <c r="H10" s="52" t="s">
        <v>81</v>
      </c>
      <c r="I10" s="8" t="s">
        <v>107</v>
      </c>
      <c r="J10" s="8" t="s">
        <v>110</v>
      </c>
      <c r="K10" s="8" t="s">
        <v>111</v>
      </c>
      <c r="L10" s="8" t="s">
        <v>80</v>
      </c>
    </row>
    <row r="11" spans="2:13" ht="50.1" customHeight="1" x14ac:dyDescent="0.25">
      <c r="B11" s="4">
        <v>1</v>
      </c>
      <c r="C11" s="54" t="s">
        <v>129</v>
      </c>
      <c r="D11" s="88"/>
      <c r="E11" s="89"/>
      <c r="F11" s="83" t="s">
        <v>61</v>
      </c>
      <c r="G11" s="28" t="str">
        <f>H11</f>
        <v>Enter issue &amp; expiry</v>
      </c>
      <c r="H11" s="28" t="str">
        <f>IF(AND(ISBLANK($D11),ISBLANK($E11)),"Enter issue &amp; expiry",IF(ISBLANK($E11),DATE(YEAR($D11),MONTH($D11)+$I11,DAY($D11)),$E11))</f>
        <v>Enter issue &amp; expiry</v>
      </c>
      <c r="I11" s="118">
        <v>12</v>
      </c>
      <c r="J11" s="13" t="s">
        <v>61</v>
      </c>
      <c r="K11" s="13" t="s">
        <v>61</v>
      </c>
      <c r="L11" s="94" t="s">
        <v>143</v>
      </c>
    </row>
    <row r="12" spans="2:13" ht="50.1" customHeight="1" x14ac:dyDescent="0.25">
      <c r="B12" s="2">
        <v>2</v>
      </c>
      <c r="C12" s="55" t="s">
        <v>44</v>
      </c>
      <c r="D12" s="90"/>
      <c r="E12" s="91"/>
      <c r="F12" s="30" t="s">
        <v>61</v>
      </c>
      <c r="G12" s="31" t="str">
        <f t="shared" ref="G12:G42" si="0">H12</f>
        <v>Enter issue &amp; expiry</v>
      </c>
      <c r="H12" s="31" t="str">
        <f>IF(AND(ISBLANK($D12),ISBLANK($E12)),"Enter issue &amp; expiry",IF(ISBLANK($E12),DATE(YEAR($D12),MONTH($D12)+$I12,DAY($D12)),$E12))</f>
        <v>Enter issue &amp; expiry</v>
      </c>
      <c r="I12" s="15">
        <v>12</v>
      </c>
      <c r="J12" s="17" t="s">
        <v>61</v>
      </c>
      <c r="K12" s="17" t="s">
        <v>61</v>
      </c>
      <c r="L12" s="95"/>
      <c r="M12" s="50"/>
    </row>
    <row r="13" spans="2:13" ht="50.1" customHeight="1" x14ac:dyDescent="0.25">
      <c r="B13" s="2">
        <v>3</v>
      </c>
      <c r="C13" s="55" t="s">
        <v>127</v>
      </c>
      <c r="D13" s="90"/>
      <c r="E13" s="91"/>
      <c r="F13" s="30" t="s">
        <v>61</v>
      </c>
      <c r="G13" s="31" t="str">
        <f t="shared" si="0"/>
        <v>Enter issue &amp; expiry</v>
      </c>
      <c r="H13" s="31" t="str">
        <f>IF(AND(ISBLANK($D13),ISBLANK($E13)),"Enter issue &amp; expiry",$E13)</f>
        <v>Enter issue &amp; expiry</v>
      </c>
      <c r="I13" s="15" t="s">
        <v>61</v>
      </c>
      <c r="J13" s="17" t="s">
        <v>61</v>
      </c>
      <c r="K13" s="17" t="s">
        <v>61</v>
      </c>
      <c r="L13" s="95" t="s">
        <v>85</v>
      </c>
      <c r="M13" s="50"/>
    </row>
    <row r="14" spans="2:13" ht="50.1" customHeight="1" x14ac:dyDescent="0.25">
      <c r="B14" s="2">
        <v>4</v>
      </c>
      <c r="C14" s="55" t="s">
        <v>45</v>
      </c>
      <c r="D14" s="90"/>
      <c r="E14" s="91"/>
      <c r="F14" s="30" t="s">
        <v>61</v>
      </c>
      <c r="G14" s="31" t="str">
        <f t="shared" si="0"/>
        <v>Enter issue &amp; expiry</v>
      </c>
      <c r="H14" s="31" t="str">
        <f>IF(AND(ISBLANK($D14),ISBLANK($E14)),"Enter issue &amp; expiry",IF(ISBLANK($E14),DATE(YEAR($D14),MONTH($D14)+$I14,DAY($D14)),$E14))</f>
        <v>Enter issue &amp; expiry</v>
      </c>
      <c r="I14" s="17">
        <v>12</v>
      </c>
      <c r="J14" s="17" t="s">
        <v>61</v>
      </c>
      <c r="K14" s="17" t="s">
        <v>61</v>
      </c>
      <c r="L14" s="95"/>
      <c r="M14" s="50"/>
    </row>
    <row r="15" spans="2:13" ht="50.1" customHeight="1" x14ac:dyDescent="0.25">
      <c r="B15" s="2">
        <v>5</v>
      </c>
      <c r="C15" s="55" t="s">
        <v>128</v>
      </c>
      <c r="D15" s="90"/>
      <c r="E15" s="91"/>
      <c r="F15" s="30" t="s">
        <v>61</v>
      </c>
      <c r="G15" s="31" t="str">
        <f t="shared" si="0"/>
        <v>Enter issue &amp; expiry</v>
      </c>
      <c r="H15" s="31" t="str">
        <f>IF(ISBLANK($E15),"Enter issue &amp; expiry",$E15)</f>
        <v>Enter issue &amp; expiry</v>
      </c>
      <c r="I15" s="17" t="s">
        <v>61</v>
      </c>
      <c r="J15" s="17" t="s">
        <v>61</v>
      </c>
      <c r="K15" s="17" t="s">
        <v>61</v>
      </c>
      <c r="L15" s="95"/>
    </row>
    <row r="16" spans="2:13" ht="50.1" customHeight="1" x14ac:dyDescent="0.25">
      <c r="B16" s="2">
        <v>6</v>
      </c>
      <c r="C16" s="55" t="s">
        <v>60</v>
      </c>
      <c r="D16" s="90"/>
      <c r="E16" s="91"/>
      <c r="F16" s="30" t="s">
        <v>61</v>
      </c>
      <c r="G16" s="31" t="str">
        <f t="shared" si="0"/>
        <v>Enter issue &amp; expiry</v>
      </c>
      <c r="H16" s="31" t="str">
        <f>IF(ISBLANK($E16),"Enter issue &amp; expiry",$E16)</f>
        <v>Enter issue &amp; expiry</v>
      </c>
      <c r="I16" s="17" t="s">
        <v>61</v>
      </c>
      <c r="J16" s="17" t="s">
        <v>61</v>
      </c>
      <c r="K16" s="17" t="s">
        <v>61</v>
      </c>
      <c r="L16" s="95"/>
    </row>
    <row r="17" spans="2:15" ht="50.1" customHeight="1" x14ac:dyDescent="0.25">
      <c r="B17" s="2">
        <v>7</v>
      </c>
      <c r="C17" s="55" t="s">
        <v>46</v>
      </c>
      <c r="D17" s="90"/>
      <c r="E17" s="25" t="s">
        <v>61</v>
      </c>
      <c r="F17" s="30" t="s">
        <v>61</v>
      </c>
      <c r="G17" s="30" t="s">
        <v>61</v>
      </c>
      <c r="H17" s="30" t="s">
        <v>61</v>
      </c>
      <c r="I17" s="17" t="s">
        <v>61</v>
      </c>
      <c r="J17" s="17" t="s">
        <v>61</v>
      </c>
      <c r="K17" s="17" t="s">
        <v>61</v>
      </c>
      <c r="L17" s="95"/>
    </row>
    <row r="18" spans="2:15" ht="50.1" customHeight="1" x14ac:dyDescent="0.25">
      <c r="B18" s="2">
        <v>8</v>
      </c>
      <c r="C18" s="55" t="s">
        <v>169</v>
      </c>
      <c r="D18" s="90"/>
      <c r="E18" s="91"/>
      <c r="F18" s="30" t="s">
        <v>61</v>
      </c>
      <c r="G18" s="31" t="str">
        <f t="shared" si="0"/>
        <v>Enter issue &amp; expiry</v>
      </c>
      <c r="H18" s="31" t="str">
        <f>IF(AND(ISBLANK($D18),ISBLANK($E18)),"Enter issue &amp; expiry",IF(ISBLANK($E18),DATE(YEAR($D18),MONTH($D18)+$I18,DAY($D18)),$E18))</f>
        <v>Enter issue &amp; expiry</v>
      </c>
      <c r="I18" s="17"/>
      <c r="J18" s="17" t="s">
        <v>61</v>
      </c>
      <c r="K18" s="17" t="s">
        <v>61</v>
      </c>
      <c r="L18" s="95" t="s">
        <v>170</v>
      </c>
    </row>
    <row r="19" spans="2:15" ht="50.1" customHeight="1" x14ac:dyDescent="0.25">
      <c r="B19" s="53">
        <v>9</v>
      </c>
      <c r="C19" s="55" t="s">
        <v>62</v>
      </c>
      <c r="D19" s="90"/>
      <c r="E19" s="91"/>
      <c r="F19" s="25" t="s">
        <v>61</v>
      </c>
      <c r="G19" s="24" t="str">
        <f t="shared" si="0"/>
        <v>Enter issue &amp; expiry</v>
      </c>
      <c r="H19" s="24" t="str">
        <f>IF(AND(ISBLANK($D19),ISBLANK($E19)),"Enter issue &amp; expiry",IF(ISBLANK($E19),DATE(YEAR($D19),MONTH($D19)+$I19,DAY($D19)),$E19))</f>
        <v>Enter issue &amp; expiry</v>
      </c>
      <c r="I19" s="11">
        <v>36</v>
      </c>
      <c r="J19" s="11" t="s">
        <v>61</v>
      </c>
      <c r="K19" s="11" t="s">
        <v>61</v>
      </c>
      <c r="L19" s="95"/>
    </row>
    <row r="20" spans="2:15" ht="50.1" customHeight="1" x14ac:dyDescent="0.25">
      <c r="B20" s="53">
        <v>9</v>
      </c>
      <c r="C20" s="55" t="s">
        <v>63</v>
      </c>
      <c r="D20" s="90"/>
      <c r="E20" s="91"/>
      <c r="F20" s="25" t="s">
        <v>61</v>
      </c>
      <c r="G20" s="24" t="str">
        <f t="shared" si="0"/>
        <v>Enter issue &amp; expiry</v>
      </c>
      <c r="H20" s="24" t="str">
        <f>IF(AND(ISBLANK($D20),ISBLANK($E20)),"Enter issue &amp; expiry",IF(ISBLANK($E20),DATE(YEAR($D20),MONTH($D20)+$I20,DAY($D20)),$E20))</f>
        <v>Enter issue &amp; expiry</v>
      </c>
      <c r="I20" s="11">
        <v>24</v>
      </c>
      <c r="J20" s="11" t="s">
        <v>61</v>
      </c>
      <c r="K20" s="11" t="s">
        <v>61</v>
      </c>
      <c r="L20" s="95"/>
    </row>
    <row r="21" spans="2:15" ht="50.1" customHeight="1" x14ac:dyDescent="0.25">
      <c r="B21" s="53">
        <v>9</v>
      </c>
      <c r="C21" s="55" t="s">
        <v>64</v>
      </c>
      <c r="D21" s="90"/>
      <c r="E21" s="91"/>
      <c r="F21" s="25" t="s">
        <v>61</v>
      </c>
      <c r="G21" s="24" t="str">
        <f t="shared" si="0"/>
        <v>Enter issue &amp; expiry</v>
      </c>
      <c r="H21" s="24" t="str">
        <f>IF(AND(ISBLANK($D21),ISBLANK($E21)),"Enter issue &amp; expiry",IF(ISBLANK($E21),DATE(YEAR($D21),MONTH($D21)+$I21,DAY($D21)),$E21))</f>
        <v>Enter issue &amp; expiry</v>
      </c>
      <c r="I21" s="11">
        <v>12</v>
      </c>
      <c r="J21" s="11" t="s">
        <v>61</v>
      </c>
      <c r="K21" s="11" t="s">
        <v>61</v>
      </c>
      <c r="L21" s="95"/>
      <c r="N21" s="51"/>
    </row>
    <row r="22" spans="2:15" ht="50.1" customHeight="1" x14ac:dyDescent="0.25">
      <c r="B22" s="53">
        <v>10</v>
      </c>
      <c r="C22" s="55" t="s">
        <v>117</v>
      </c>
      <c r="D22" s="90"/>
      <c r="E22" s="91"/>
      <c r="F22" s="25" t="s">
        <v>61</v>
      </c>
      <c r="G22" s="24" t="str">
        <f t="shared" si="0"/>
        <v>Enter issue date</v>
      </c>
      <c r="H22" s="24" t="str">
        <f>IF(ISBLANK($D22),"Enter issue date",IF($D22="N/A","N/A", IF($I22="Choose expiry interval","Enter expiry interval",IF(ISBLANK($E22),DATE(YEAR($D22),MONTH($D22)+$I22,DAY($D22)),$E22))))</f>
        <v>Enter issue date</v>
      </c>
      <c r="I22" s="123">
        <v>12</v>
      </c>
      <c r="J22" s="11" t="s">
        <v>61</v>
      </c>
      <c r="K22" s="11" t="s">
        <v>61</v>
      </c>
      <c r="L22" s="96"/>
    </row>
    <row r="23" spans="2:15" ht="50.1" customHeight="1" x14ac:dyDescent="0.25">
      <c r="B23" s="53">
        <v>10</v>
      </c>
      <c r="C23" s="55" t="s">
        <v>116</v>
      </c>
      <c r="D23" s="90"/>
      <c r="E23" s="91"/>
      <c r="F23" s="25" t="s">
        <v>61</v>
      </c>
      <c r="G23" s="24" t="str">
        <f>H23</f>
        <v>Enter issue date</v>
      </c>
      <c r="H23" s="24" t="str">
        <f>IF(ISBLANK($D23),"Enter issue date",IF($D23="N/A","N/A", IF($I23="Choose expiry interval","Enter expiry interval",IF(ISBLANK($E23),DATE(YEAR($D23),MONTH($D23)+$I23,DAY($D23)),$E23))))</f>
        <v>Enter issue date</v>
      </c>
      <c r="I23" s="123">
        <v>12</v>
      </c>
      <c r="J23" s="11" t="s">
        <v>61</v>
      </c>
      <c r="K23" s="11" t="s">
        <v>61</v>
      </c>
      <c r="L23" s="96"/>
    </row>
    <row r="24" spans="2:15" ht="50.1" customHeight="1" x14ac:dyDescent="0.25">
      <c r="B24" s="53">
        <v>10</v>
      </c>
      <c r="C24" s="55" t="s">
        <v>115</v>
      </c>
      <c r="D24" s="90"/>
      <c r="E24" s="91"/>
      <c r="F24" s="25" t="s">
        <v>61</v>
      </c>
      <c r="G24" s="24" t="str">
        <f t="shared" si="0"/>
        <v>Enter issue &amp; expiry</v>
      </c>
      <c r="H24" s="24" t="str">
        <f t="shared" ref="H24:H39" si="1">IF(AND(ISBLANK($D24),ISBLANK($E24)),"Enter issue &amp; expiry",IF(ISBLANK($E24),DATE(YEAR($D24),MONTH($D24)+$I24,DAY($D24)),$E24))</f>
        <v>Enter issue &amp; expiry</v>
      </c>
      <c r="I24" s="123">
        <v>12</v>
      </c>
      <c r="J24" s="11" t="s">
        <v>61</v>
      </c>
      <c r="K24" s="11" t="s">
        <v>61</v>
      </c>
      <c r="L24" s="96"/>
      <c r="M24" s="50"/>
    </row>
    <row r="25" spans="2:15" ht="50.1" customHeight="1" x14ac:dyDescent="0.25">
      <c r="B25" s="2">
        <v>11</v>
      </c>
      <c r="C25" s="55" t="s">
        <v>47</v>
      </c>
      <c r="D25" s="90"/>
      <c r="E25" s="91"/>
      <c r="F25" s="25" t="s">
        <v>61</v>
      </c>
      <c r="G25" s="24" t="str">
        <f t="shared" si="0"/>
        <v>Enter issue &amp; expiry</v>
      </c>
      <c r="H25" s="24" t="str">
        <f t="shared" si="1"/>
        <v>Enter issue &amp; expiry</v>
      </c>
      <c r="I25" s="11">
        <v>12</v>
      </c>
      <c r="J25" s="11" t="s">
        <v>61</v>
      </c>
      <c r="K25" s="11" t="s">
        <v>61</v>
      </c>
      <c r="L25" s="95"/>
    </row>
    <row r="26" spans="2:15" ht="50.1" customHeight="1" x14ac:dyDescent="0.25">
      <c r="B26" s="2">
        <v>12</v>
      </c>
      <c r="C26" s="55" t="s">
        <v>48</v>
      </c>
      <c r="D26" s="90"/>
      <c r="E26" s="91"/>
      <c r="F26" s="25" t="s">
        <v>61</v>
      </c>
      <c r="G26" s="24" t="str">
        <f t="shared" si="0"/>
        <v>Enter issue &amp; expiry</v>
      </c>
      <c r="H26" s="24" t="str">
        <f t="shared" si="1"/>
        <v>Enter issue &amp; expiry</v>
      </c>
      <c r="I26" s="11">
        <v>12</v>
      </c>
      <c r="J26" s="11" t="s">
        <v>61</v>
      </c>
      <c r="K26" s="11" t="s">
        <v>61</v>
      </c>
      <c r="L26" s="95"/>
    </row>
    <row r="27" spans="2:15" ht="50.1" customHeight="1" x14ac:dyDescent="0.25">
      <c r="B27" s="2">
        <v>13</v>
      </c>
      <c r="C27" s="55" t="s">
        <v>49</v>
      </c>
      <c r="D27" s="90"/>
      <c r="E27" s="91"/>
      <c r="F27" s="25" t="s">
        <v>61</v>
      </c>
      <c r="G27" s="24" t="str">
        <f t="shared" si="0"/>
        <v>Enter issue &amp; expiry</v>
      </c>
      <c r="H27" s="24" t="str">
        <f t="shared" si="1"/>
        <v>Enter issue &amp; expiry</v>
      </c>
      <c r="I27" s="17">
        <v>12</v>
      </c>
      <c r="J27" s="11" t="s">
        <v>61</v>
      </c>
      <c r="K27" s="11" t="s">
        <v>61</v>
      </c>
      <c r="L27" s="95"/>
    </row>
    <row r="28" spans="2:15" ht="50.1" customHeight="1" x14ac:dyDescent="0.25">
      <c r="B28" s="2">
        <v>14</v>
      </c>
      <c r="C28" s="55" t="s">
        <v>50</v>
      </c>
      <c r="D28" s="90"/>
      <c r="E28" s="91"/>
      <c r="F28" s="25" t="s">
        <v>61</v>
      </c>
      <c r="G28" s="24" t="str">
        <f t="shared" si="0"/>
        <v>Enter issue &amp; expiry</v>
      </c>
      <c r="H28" s="24" t="str">
        <f t="shared" si="1"/>
        <v>Enter issue &amp; expiry</v>
      </c>
      <c r="I28" s="11">
        <v>60</v>
      </c>
      <c r="J28" s="11" t="s">
        <v>61</v>
      </c>
      <c r="K28" s="11" t="s">
        <v>61</v>
      </c>
      <c r="L28" s="95" t="s">
        <v>96</v>
      </c>
    </row>
    <row r="29" spans="2:15" ht="50.1" customHeight="1" x14ac:dyDescent="0.25">
      <c r="B29" s="2">
        <v>15</v>
      </c>
      <c r="C29" s="55" t="s">
        <v>51</v>
      </c>
      <c r="D29" s="90"/>
      <c r="E29" s="91"/>
      <c r="F29" s="25" t="s">
        <v>61</v>
      </c>
      <c r="G29" s="24" t="str">
        <f t="shared" si="0"/>
        <v>Enter issue &amp; expiry</v>
      </c>
      <c r="H29" s="24" t="str">
        <f t="shared" si="1"/>
        <v>Enter issue &amp; expiry</v>
      </c>
      <c r="I29" s="11">
        <v>60</v>
      </c>
      <c r="J29" s="11" t="s">
        <v>61</v>
      </c>
      <c r="K29" s="11" t="s">
        <v>61</v>
      </c>
      <c r="L29" s="95" t="s">
        <v>96</v>
      </c>
    </row>
    <row r="30" spans="2:15" ht="50.1" customHeight="1" x14ac:dyDescent="0.25">
      <c r="B30" s="53">
        <v>16</v>
      </c>
      <c r="C30" s="55" t="s">
        <v>67</v>
      </c>
      <c r="D30" s="90"/>
      <c r="E30" s="91"/>
      <c r="F30" s="25">
        <v>0</v>
      </c>
      <c r="G30" s="24" t="str">
        <f t="shared" si="0"/>
        <v>Enter issue &amp; expiry</v>
      </c>
      <c r="H30" s="24" t="str">
        <f t="shared" si="1"/>
        <v>Enter issue &amp; expiry</v>
      </c>
      <c r="I30" s="11">
        <v>36</v>
      </c>
      <c r="J30" s="11" t="s">
        <v>61</v>
      </c>
      <c r="K30" s="11" t="s">
        <v>61</v>
      </c>
      <c r="L30" s="95"/>
    </row>
    <row r="31" spans="2:15" ht="50.1" customHeight="1" x14ac:dyDescent="0.25">
      <c r="B31" s="53">
        <v>16</v>
      </c>
      <c r="C31" s="55" t="s">
        <v>66</v>
      </c>
      <c r="D31" s="90"/>
      <c r="E31" s="91"/>
      <c r="F31" s="25" t="s">
        <v>61</v>
      </c>
      <c r="G31" s="24" t="str">
        <f t="shared" si="0"/>
        <v>Enter issue &amp; expiry</v>
      </c>
      <c r="H31" s="24" t="str">
        <f t="shared" si="1"/>
        <v>Enter issue &amp; expiry</v>
      </c>
      <c r="I31" s="11">
        <v>60</v>
      </c>
      <c r="J31" s="11" t="s">
        <v>61</v>
      </c>
      <c r="K31" s="11" t="s">
        <v>61</v>
      </c>
      <c r="L31" s="95"/>
      <c r="O31" s="46"/>
    </row>
    <row r="32" spans="2:15" ht="50.1" customHeight="1" x14ac:dyDescent="0.25">
      <c r="B32" s="2">
        <v>17</v>
      </c>
      <c r="C32" s="55" t="s">
        <v>152</v>
      </c>
      <c r="D32" s="90"/>
      <c r="E32" s="91"/>
      <c r="F32" s="25" t="s">
        <v>61</v>
      </c>
      <c r="G32" s="24" t="str">
        <f t="shared" si="0"/>
        <v>Enter issue &amp; expiry</v>
      </c>
      <c r="H32" s="24" t="str">
        <f t="shared" si="1"/>
        <v>Enter issue &amp; expiry</v>
      </c>
      <c r="I32" s="117">
        <v>60</v>
      </c>
      <c r="J32" s="11" t="s">
        <v>61</v>
      </c>
      <c r="K32" s="11" t="s">
        <v>61</v>
      </c>
      <c r="L32" s="95"/>
      <c r="M32" s="50"/>
      <c r="N32" s="50"/>
      <c r="O32" s="68"/>
    </row>
    <row r="33" spans="2:15" ht="50.1" customHeight="1" x14ac:dyDescent="0.25">
      <c r="B33" s="53">
        <v>18</v>
      </c>
      <c r="C33" s="55" t="s">
        <v>71</v>
      </c>
      <c r="D33" s="90"/>
      <c r="E33" s="91"/>
      <c r="F33" s="25" t="s">
        <v>61</v>
      </c>
      <c r="G33" s="24" t="str">
        <f t="shared" si="0"/>
        <v>Enter issue &amp; expiry</v>
      </c>
      <c r="H33" s="24" t="str">
        <f>IF(AND(ISBLANK($D33),ISBLANK($E33)),"Enter issue &amp; expiry",IF(ISBLANK($E33),DATE(YEAR($D33),MONTH($D33)+$I33,DAY($D33)),$E33))</f>
        <v>Enter issue &amp; expiry</v>
      </c>
      <c r="I33" s="138" t="s">
        <v>157</v>
      </c>
      <c r="J33" s="11" t="s">
        <v>61</v>
      </c>
      <c r="K33" s="11" t="s">
        <v>61</v>
      </c>
      <c r="L33" s="95" t="s">
        <v>85</v>
      </c>
      <c r="M33" s="50"/>
      <c r="N33" s="50"/>
      <c r="O33" s="46"/>
    </row>
    <row r="34" spans="2:15" ht="50.1" customHeight="1" x14ac:dyDescent="0.25">
      <c r="B34" s="53">
        <v>18</v>
      </c>
      <c r="C34" s="55" t="s">
        <v>70</v>
      </c>
      <c r="D34" s="90"/>
      <c r="E34" s="91"/>
      <c r="F34" s="25" t="s">
        <v>61</v>
      </c>
      <c r="G34" s="24" t="str">
        <f t="shared" si="0"/>
        <v>Enter issue &amp; expiry</v>
      </c>
      <c r="H34" s="24" t="str">
        <f>IF(AND(ISBLANK($D34),ISBLANK($E34)),"Enter issue &amp; expiry",IF(ISBLANK($E34),DATE(YEAR($D34),MONTH($D34)+$I34,DAY($D34)),$E34))</f>
        <v>Enter issue &amp; expiry</v>
      </c>
      <c r="I34" s="137">
        <v>60</v>
      </c>
      <c r="J34" s="11" t="s">
        <v>61</v>
      </c>
      <c r="K34" s="11" t="s">
        <v>61</v>
      </c>
      <c r="L34" s="95" t="s">
        <v>85</v>
      </c>
      <c r="M34" s="50"/>
      <c r="N34" s="50"/>
    </row>
    <row r="35" spans="2:15" ht="50.1" customHeight="1" x14ac:dyDescent="0.25">
      <c r="B35" s="53">
        <v>19</v>
      </c>
      <c r="C35" s="55" t="s">
        <v>69</v>
      </c>
      <c r="D35" s="90"/>
      <c r="E35" s="91"/>
      <c r="F35" s="25" t="s">
        <v>61</v>
      </c>
      <c r="G35" s="24" t="str">
        <f t="shared" si="0"/>
        <v>Enter issue &amp; expiry</v>
      </c>
      <c r="H35" s="24" t="str">
        <f>IF(AND(ISBLANK($D35),ISBLANK($E35)),"Enter issue &amp; expiry",IF(ISBLANK($E35),DATE(YEAR($D35),MONTH($D35)+$I35,DAY($D35)),$E35))</f>
        <v>Enter issue &amp; expiry</v>
      </c>
      <c r="I35" s="108" t="s">
        <v>157</v>
      </c>
      <c r="J35" s="11" t="s">
        <v>61</v>
      </c>
      <c r="K35" s="11" t="s">
        <v>61</v>
      </c>
      <c r="L35" s="122"/>
      <c r="M35" s="50"/>
      <c r="N35" s="50"/>
    </row>
    <row r="36" spans="2:15" ht="50.1" customHeight="1" x14ac:dyDescent="0.25">
      <c r="B36" s="53">
        <v>19</v>
      </c>
      <c r="C36" s="55" t="s">
        <v>68</v>
      </c>
      <c r="D36" s="90"/>
      <c r="E36" s="91"/>
      <c r="F36" s="25" t="s">
        <v>61</v>
      </c>
      <c r="G36" s="24" t="str">
        <f t="shared" si="0"/>
        <v>Enter issue &amp; expiry</v>
      </c>
      <c r="H36" s="24" t="str">
        <f t="shared" si="1"/>
        <v>Enter issue &amp; expiry</v>
      </c>
      <c r="I36" s="136">
        <v>120</v>
      </c>
      <c r="J36" s="11" t="s">
        <v>61</v>
      </c>
      <c r="K36" s="11" t="s">
        <v>61</v>
      </c>
      <c r="L36" s="95"/>
    </row>
    <row r="37" spans="2:15" ht="50.1" customHeight="1" x14ac:dyDescent="0.25">
      <c r="B37" s="2">
        <v>20</v>
      </c>
      <c r="C37" s="55" t="s">
        <v>52</v>
      </c>
      <c r="D37" s="90"/>
      <c r="E37" s="91"/>
      <c r="F37" s="25" t="s">
        <v>61</v>
      </c>
      <c r="G37" s="24" t="str">
        <f t="shared" si="0"/>
        <v>Enter issue &amp; expiry</v>
      </c>
      <c r="H37" s="24" t="str">
        <f>IF(AND(ISBLANK($D37),ISBLANK($E37)),"Enter issue &amp; expiry",IF(ISBLANK($E37),DATE(YEAR($D37),MONTH($D37)+$I37,DAY($D37)),$E37))</f>
        <v>Enter issue &amp; expiry</v>
      </c>
      <c r="I37" s="108" t="s">
        <v>157</v>
      </c>
      <c r="J37" s="11" t="s">
        <v>61</v>
      </c>
      <c r="K37" s="11" t="s">
        <v>61</v>
      </c>
      <c r="L37" s="95"/>
    </row>
    <row r="38" spans="2:15" ht="50.1" customHeight="1" x14ac:dyDescent="0.25">
      <c r="B38" s="2">
        <v>21</v>
      </c>
      <c r="C38" s="55" t="s">
        <v>57</v>
      </c>
      <c r="D38" s="90"/>
      <c r="E38" s="91"/>
      <c r="F38" s="25" t="s">
        <v>61</v>
      </c>
      <c r="G38" s="24" t="str">
        <f>H38</f>
        <v>Enter issue &amp; expiry</v>
      </c>
      <c r="H38" s="24" t="str">
        <f t="shared" si="1"/>
        <v>Enter issue &amp; expiry</v>
      </c>
      <c r="I38" s="108" t="s">
        <v>157</v>
      </c>
      <c r="J38" s="11" t="s">
        <v>61</v>
      </c>
      <c r="K38" s="11" t="s">
        <v>61</v>
      </c>
      <c r="L38" s="95"/>
      <c r="M38" s="50"/>
      <c r="N38" s="50"/>
    </row>
    <row r="39" spans="2:15" ht="50.1" customHeight="1" x14ac:dyDescent="0.25">
      <c r="B39" s="2">
        <v>22</v>
      </c>
      <c r="C39" s="55" t="s">
        <v>151</v>
      </c>
      <c r="D39" s="90"/>
      <c r="E39" s="91"/>
      <c r="F39" s="25" t="s">
        <v>61</v>
      </c>
      <c r="G39" s="24" t="str">
        <f>H39</f>
        <v>Enter issue &amp; expiry</v>
      </c>
      <c r="H39" s="24" t="str">
        <f t="shared" si="1"/>
        <v>Enter issue &amp; expiry</v>
      </c>
      <c r="I39" s="11">
        <v>60</v>
      </c>
      <c r="J39" s="11" t="s">
        <v>61</v>
      </c>
      <c r="K39" s="11" t="s">
        <v>61</v>
      </c>
      <c r="L39" s="95" t="s">
        <v>142</v>
      </c>
    </row>
    <row r="40" spans="2:15" ht="50.1" customHeight="1" x14ac:dyDescent="0.25">
      <c r="B40" s="2">
        <v>23</v>
      </c>
      <c r="C40" s="55" t="s">
        <v>53</v>
      </c>
      <c r="D40" s="90"/>
      <c r="E40" s="25" t="s">
        <v>61</v>
      </c>
      <c r="F40" s="25" t="s">
        <v>61</v>
      </c>
      <c r="G40" s="25" t="s">
        <v>61</v>
      </c>
      <c r="H40" s="24" t="s">
        <v>61</v>
      </c>
      <c r="I40" s="11" t="s">
        <v>61</v>
      </c>
      <c r="J40" s="11" t="s">
        <v>61</v>
      </c>
      <c r="K40" s="11" t="s">
        <v>61</v>
      </c>
      <c r="L40" s="95"/>
    </row>
    <row r="41" spans="2:15" ht="50.1" customHeight="1" x14ac:dyDescent="0.25">
      <c r="B41" s="2">
        <v>24</v>
      </c>
      <c r="C41" s="55" t="s">
        <v>54</v>
      </c>
      <c r="D41" s="90"/>
      <c r="E41" s="25" t="s">
        <v>61</v>
      </c>
      <c r="F41" s="25" t="s">
        <v>61</v>
      </c>
      <c r="G41" s="25" t="s">
        <v>61</v>
      </c>
      <c r="H41" s="25" t="s">
        <v>61</v>
      </c>
      <c r="I41" s="11" t="s">
        <v>61</v>
      </c>
      <c r="J41" s="11" t="s">
        <v>61</v>
      </c>
      <c r="K41" s="11" t="s">
        <v>61</v>
      </c>
      <c r="L41" s="95"/>
    </row>
    <row r="42" spans="2:15" ht="50.1" customHeight="1" x14ac:dyDescent="0.25">
      <c r="B42" s="2">
        <v>25</v>
      </c>
      <c r="C42" s="55" t="s">
        <v>55</v>
      </c>
      <c r="D42" s="90"/>
      <c r="E42" s="91"/>
      <c r="F42" s="25" t="s">
        <v>61</v>
      </c>
      <c r="G42" s="24" t="str">
        <f t="shared" si="0"/>
        <v>Enter issue &amp; expiry</v>
      </c>
      <c r="H42" s="24" t="str">
        <f>IF(AND(ISBLANK($D42),ISBLANK($E42)),"Enter issue &amp; expiry",IF(ISBLANK($E42),DATE(YEAR($D42),MONTH($D42)+$I42,DAY($D42)),$E42))</f>
        <v>Enter issue &amp; expiry</v>
      </c>
      <c r="I42" s="11">
        <v>12</v>
      </c>
      <c r="J42" s="11" t="s">
        <v>61</v>
      </c>
      <c r="K42" s="11" t="s">
        <v>61</v>
      </c>
      <c r="L42" s="95"/>
    </row>
    <row r="43" spans="2:15" ht="50.1" customHeight="1" x14ac:dyDescent="0.25">
      <c r="B43" s="2">
        <v>26</v>
      </c>
      <c r="C43" s="55" t="s">
        <v>56</v>
      </c>
      <c r="D43" s="90"/>
      <c r="E43" s="25" t="s">
        <v>61</v>
      </c>
      <c r="F43" s="25" t="s">
        <v>61</v>
      </c>
      <c r="G43" s="25" t="s">
        <v>61</v>
      </c>
      <c r="H43" s="24" t="s">
        <v>61</v>
      </c>
      <c r="I43" s="11" t="s">
        <v>61</v>
      </c>
      <c r="J43" s="11" t="s">
        <v>61</v>
      </c>
      <c r="K43" s="11" t="s">
        <v>61</v>
      </c>
      <c r="L43" s="95"/>
    </row>
    <row r="44" spans="2:15" ht="61.5" customHeight="1" thickBot="1" x14ac:dyDescent="0.3">
      <c r="B44" s="3">
        <v>27</v>
      </c>
      <c r="C44" s="56" t="s">
        <v>97</v>
      </c>
      <c r="D44" s="92"/>
      <c r="E44" s="93"/>
      <c r="F44" s="26" t="s">
        <v>61</v>
      </c>
      <c r="G44" s="27" t="str">
        <f>H44</f>
        <v>Enter issue &amp; expiry</v>
      </c>
      <c r="H44" s="27" t="str">
        <f>IF(AND(ISBLANK($D44),ISBLANK($E44)),"Enter issue &amp; expiry",IF(ISBLANK($E44),DATE(YEAR($D44),MONTH($D44)+$I44,DAY($D44)),$E44))</f>
        <v>Enter issue &amp; expiry</v>
      </c>
      <c r="I44" s="12">
        <v>12</v>
      </c>
      <c r="J44" s="12" t="s">
        <v>61</v>
      </c>
      <c r="K44" s="12" t="s">
        <v>61</v>
      </c>
      <c r="L44" s="97"/>
    </row>
    <row r="45" spans="2:15" ht="30" customHeight="1" x14ac:dyDescent="0.25">
      <c r="I45" s="5"/>
    </row>
    <row r="46" spans="2:15" ht="30" customHeight="1" x14ac:dyDescent="0.25"/>
    <row r="47" spans="2:15" ht="30" customHeight="1" x14ac:dyDescent="0.25"/>
  </sheetData>
  <mergeCells count="11">
    <mergeCell ref="C8:F8"/>
    <mergeCell ref="J2:K2"/>
    <mergeCell ref="J3:K3"/>
    <mergeCell ref="J8:K8"/>
    <mergeCell ref="C2:F2"/>
    <mergeCell ref="C3:F3"/>
    <mergeCell ref="C6:F6"/>
    <mergeCell ref="C7:F7"/>
    <mergeCell ref="G8:I8"/>
    <mergeCell ref="C4:F4"/>
    <mergeCell ref="C5:F5"/>
  </mergeCells>
  <conditionalFormatting sqref="B11:C44 G11:L44">
    <cfRule type="expression" priority="1" stopIfTrue="1">
      <formula>AND($D11="N/A", $E11="N/A")</formula>
    </cfRule>
    <cfRule type="expression" dxfId="7" priority="2" stopIfTrue="1">
      <formula>OR(ISBLANK($D11), ISBLANK($E11))</formula>
    </cfRule>
    <cfRule type="expression" dxfId="6" priority="3" stopIfTrue="1">
      <formula>IF(UPPER($D11="N/A"), FALSE, $D11&gt;TODAY())</formula>
    </cfRule>
  </conditionalFormatting>
  <conditionalFormatting sqref="B11:C12 B14:C14 B19:C21 B25:C27 B44:C44 G44:L44 G25:L27 G19:L21 G14:L14 G11:L12">
    <cfRule type="expression" dxfId="5" priority="19" stopIfTrue="1">
      <formula>TODAY()&gt;DATE(YEAR($G11),MONTH($G11)-3,DAY($G11))</formula>
    </cfRule>
  </conditionalFormatting>
  <conditionalFormatting sqref="B11:C12 B14:C14 B19:C21 B25:C27 B44:C44 G44:L44 G25:L27 G19:L21 G14:L14 G11:L12">
    <cfRule type="expression" dxfId="4" priority="17" stopIfTrue="1">
      <formula>TODAY()&gt;DATE(YEAR($G11),MONTH($G11)+3,DAY($G11))</formula>
    </cfRule>
  </conditionalFormatting>
  <conditionalFormatting sqref="B11:C12 B14:C14 B19:C21 B25:C27 B44:C44 G44:L44 G25:L27 G19:L21 G14:L14 G11:L12">
    <cfRule type="expression" dxfId="3" priority="18" stopIfTrue="1">
      <formula>TODAY()&gt;$G11</formula>
    </cfRule>
  </conditionalFormatting>
  <conditionalFormatting sqref="B13:C13 B18:C18 B22:C24 B28:C39 B42:C42 B15:C16 G15:L16 G42:L42 G28:L39 G22:L24 G18:L18 G13:L13">
    <cfRule type="expression" dxfId="2" priority="14" stopIfTrue="1">
      <formula>TODAY()&gt;$G13</formula>
    </cfRule>
    <cfRule type="expression" dxfId="1" priority="15" stopIfTrue="1">
      <formula>TODAY()&gt;DATE(YEAR($G13),MONTH($G13)-3,DAY($G13))</formula>
    </cfRule>
    <cfRule type="expression" dxfId="0" priority="16" stopIfTrue="1">
      <formula>TODAY()&gt;DATE(YEAR($G13),MONTH($G13)-6,DAY($G13))</formula>
    </cfRule>
  </conditionalFormatting>
  <dataValidations count="3">
    <dataValidation type="custom" allowBlank="1" showInputMessage="1" showErrorMessage="1" error="Data entered should be DD/MM/YYY or N/A" sqref="D11:D44">
      <formula1>OR($D11="N/A",AND(ISNUMBER($D11),$D11&gt;DATE(1900,1,1)))</formula1>
    </dataValidation>
    <dataValidation type="custom" operator="greaterThan" allowBlank="1" showInputMessage="1" showErrorMessage="1" error="Data should be DD/MM/YYYY or N/A" sqref="E44 E18:E39 E42 E11:E16">
      <formula1>OR($E11="N/A",AND(ISNUMBER($E11),$E11&gt;DATE(1900,1,1)))</formula1>
    </dataValidation>
    <dataValidation type="list" allowBlank="1" showInputMessage="1" showErrorMessage="1" sqref="I37:I38 I33 I35">
      <formula1>"12,24"</formula1>
    </dataValidation>
  </dataValidations>
  <pageMargins left="0.23622047244094491" right="0.23622047244094491" top="0.74803149606299213" bottom="0.74803149606299213" header="0.31496062992125984" footer="0.31496062992125984"/>
  <pageSetup paperSize="9" scale="63" fitToHeight="0" orientation="portrait" r:id="rId1"/>
  <headerFooter>
    <oddHeader>&amp;CIf a certificate, report, supplement is issued, renewed, endorsed, replaced full scanned .pdf copy -one file all pages- 
is to be sent to the Company as per TSO 02A.</oddHeader>
    <oddFooter>&amp;CIssue 2 Amend 2 - Issued October 2017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File 1A</vt:lpstr>
      <vt:lpstr>File 1B</vt:lpstr>
      <vt:lpstr>File 2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Orry Crews</dc:creator>
  <cp:lastModifiedBy>Daniel Lewandowski</cp:lastModifiedBy>
  <cp:lastPrinted>2018-03-28T13:05:46Z</cp:lastPrinted>
  <dcterms:created xsi:type="dcterms:W3CDTF">2016-07-08T15:33:24Z</dcterms:created>
  <dcterms:modified xsi:type="dcterms:W3CDTF">2018-07-31T10:34:12Z</dcterms:modified>
</cp:coreProperties>
</file>